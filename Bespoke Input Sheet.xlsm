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ah.Krawchuk\Downloads\"/>
    </mc:Choice>
  </mc:AlternateContent>
  <xr:revisionPtr revIDLastSave="0" documentId="13_ncr:1_{D5646EF5-F06C-457E-BFDC-FAD3BDCDC71D}" xr6:coauthVersionLast="47" xr6:coauthVersionMax="47" xr10:uidLastSave="{00000000-0000-0000-0000-000000000000}"/>
  <bookViews>
    <workbookView xWindow="-110" yWindow="-110" windowWidth="19420" windowHeight="10300" tabRatio="916" firstSheet="1" activeTab="1" xr2:uid="{00000000-000D-0000-FFFF-FFFF00000000}"/>
  </bookViews>
  <sheets>
    <sheet name="Lists" sheetId="15" state="hidden" r:id="rId1"/>
    <sheet name="Sales Team Input Sheet" sheetId="27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\A">#REF!</definedName>
    <definedName name="\b">#REF!</definedName>
    <definedName name="\e">#REF!</definedName>
    <definedName name="\f">#REF!</definedName>
    <definedName name="\M">#REF!</definedName>
    <definedName name="\N">#REF!</definedName>
    <definedName name="\P">#REF!</definedName>
    <definedName name="\s">#REF!</definedName>
    <definedName name="\y">#REF!</definedName>
    <definedName name="\z">#REF!</definedName>
    <definedName name="________ed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____key01">#REF!</definedName>
    <definedName name="________key02">#REF!</definedName>
    <definedName name="________key03">#REF!</definedName>
    <definedName name="________MRI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____onc01">#REF!</definedName>
    <definedName name="________onc02">#REF!</definedName>
    <definedName name="________onc03">#REF!</definedName>
    <definedName name="________tot01">#REF!</definedName>
    <definedName name="________tot02">#REF!</definedName>
    <definedName name="________tot03">#REF!</definedName>
    <definedName name="________tsa01">#REF!</definedName>
    <definedName name="________tsa02">#REF!</definedName>
    <definedName name="________tsa03">#REF!</definedName>
    <definedName name="_______ed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___key01">#REF!</definedName>
    <definedName name="_______key02">#REF!</definedName>
    <definedName name="_______key03">#REF!</definedName>
    <definedName name="_______MRI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___onc01">#REF!</definedName>
    <definedName name="_______onc02">#REF!</definedName>
    <definedName name="_______onc03">#REF!</definedName>
    <definedName name="_______tot01">#REF!</definedName>
    <definedName name="_______tot02">#REF!</definedName>
    <definedName name="_______tot03">#REF!</definedName>
    <definedName name="_______tsa01">#REF!</definedName>
    <definedName name="_______tsa02">#REF!</definedName>
    <definedName name="_______tsa03">#REF!</definedName>
    <definedName name="______ed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__key01">#REF!</definedName>
    <definedName name="______key02">#REF!</definedName>
    <definedName name="______key03">#REF!</definedName>
    <definedName name="______MRI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__onc01">#REF!</definedName>
    <definedName name="______onc02">#REF!</definedName>
    <definedName name="______onc03">#REF!</definedName>
    <definedName name="______tot01">#REF!</definedName>
    <definedName name="______tot02">#REF!</definedName>
    <definedName name="______tot03">#REF!</definedName>
    <definedName name="______tsa01">#REF!</definedName>
    <definedName name="______tsa02">#REF!</definedName>
    <definedName name="______tsa03">#REF!</definedName>
    <definedName name="_____ed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_key01">#REF!</definedName>
    <definedName name="_____key02">#REF!</definedName>
    <definedName name="_____key03">#REF!</definedName>
    <definedName name="_____MRI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_onc01">#REF!</definedName>
    <definedName name="_____onc02">#REF!</definedName>
    <definedName name="_____onc03">#REF!</definedName>
    <definedName name="_____tot01">#REF!</definedName>
    <definedName name="_____tot02">#REF!</definedName>
    <definedName name="_____tot03">#REF!</definedName>
    <definedName name="_____tsa01">#REF!</definedName>
    <definedName name="_____tsa02">#REF!</definedName>
    <definedName name="_____tsa03">#REF!</definedName>
    <definedName name="____ed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key01">#REF!</definedName>
    <definedName name="____key02">#REF!</definedName>
    <definedName name="____key03">#REF!</definedName>
    <definedName name="____MRI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_onc01">#REF!</definedName>
    <definedName name="____onc02">#REF!</definedName>
    <definedName name="____onc03">#REF!</definedName>
    <definedName name="____tot01">#REF!</definedName>
    <definedName name="____tot02">#REF!</definedName>
    <definedName name="____tot03">#REF!</definedName>
    <definedName name="____tsa01">#REF!</definedName>
    <definedName name="____tsa02">#REF!</definedName>
    <definedName name="____tsa03">#REF!</definedName>
    <definedName name="___ed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key01">#REF!</definedName>
    <definedName name="___key02">#REF!</definedName>
    <definedName name="___key03">#REF!</definedName>
    <definedName name="___MRI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_onc01">#REF!</definedName>
    <definedName name="___onc02">#REF!</definedName>
    <definedName name="___onc03">#REF!</definedName>
    <definedName name="___tot01">#REF!</definedName>
    <definedName name="___tot02">#REF!</definedName>
    <definedName name="___tot03">#REF!</definedName>
    <definedName name="___tsa01">#REF!</definedName>
    <definedName name="___tsa02">#REF!</definedName>
    <definedName name="___tsa03">#REF!</definedName>
    <definedName name="__ed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key01">#REF!</definedName>
    <definedName name="__key02">#REF!</definedName>
    <definedName name="__key03">#REF!</definedName>
    <definedName name="__MRI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_onc01">#REF!</definedName>
    <definedName name="__onc02">#REF!</definedName>
    <definedName name="__onc03">#REF!</definedName>
    <definedName name="__tot01">#REF!</definedName>
    <definedName name="__tot02">#REF!</definedName>
    <definedName name="__tot03">#REF!</definedName>
    <definedName name="__tsa01">#REF!</definedName>
    <definedName name="__tsa02">#REF!</definedName>
    <definedName name="__tsa03">#REF!</definedName>
    <definedName name="_A2" hidden="1">{"Workloads",#N/A,FALSE,"PC";"DT Workloads",#N/A,FALSE,"DT"}</definedName>
    <definedName name="_ed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Fill" hidden="1">#REF!</definedName>
    <definedName name="_key01">#REF!</definedName>
    <definedName name="_key02">#REF!</definedName>
    <definedName name="_key03">#REF!</definedName>
    <definedName name="_MRI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_onc01">#REF!</definedName>
    <definedName name="_onc02">#REF!</definedName>
    <definedName name="_onc03">#REF!</definedName>
    <definedName name="_Order1" hidden="1">255</definedName>
    <definedName name="_Order2" hidden="1">255</definedName>
    <definedName name="_Test" hidden="1">#REF!</definedName>
    <definedName name="_tot01">#REF!</definedName>
    <definedName name="_tot02">#REF!</definedName>
    <definedName name="_tot03">#REF!</definedName>
    <definedName name="_tsa01">#REF!</definedName>
    <definedName name="_tsa02">#REF!</definedName>
    <definedName name="_tsa03">#REF!</definedName>
    <definedName name="aaa">#REF!</definedName>
    <definedName name="adcold">#REF!</definedName>
    <definedName name="ADD">#REF!</definedName>
    <definedName name="adfdf">#REF!</definedName>
    <definedName name="ag" hidden="1">{"Title",#N/A,FALSE,"TITLE";"Index",#N/A,FALSE,"INDEX";"SUM",#N/A,FALSE,"SUM";"Major Room",#N/A,FALSE,"MROOM";"DraftComp",#N/A,FALSE,"DraftComp";"PA",#N/A,FALSE,"PA";"PC",#N/A,FALSE,"PC";"DT",#N/A,FALSE,"DT";"BS",#N/A,FALSE,"BS"}</definedName>
    <definedName name="AHA">#REF!</definedName>
    <definedName name="ald">#REF!</definedName>
    <definedName name="ALLOWANCE">#REF!</definedName>
    <definedName name="ALLOWPRTHIS">#REF!</definedName>
    <definedName name="amot">#REF!</definedName>
    <definedName name="AMT">#REF!</definedName>
    <definedName name="ANA_PRD">#REF!</definedName>
    <definedName name="APPROVAL">#REF!</definedName>
    <definedName name="ARCALC">#REF!</definedName>
    <definedName name="ARCODE">'[1]LOOKUP TABLE'!$A$1:$B$575</definedName>
    <definedName name="ASS">#REF!</definedName>
    <definedName name="ASSET">#REF!</definedName>
    <definedName name="B" hidden="1">{"Workloads",#N/A,FALSE,"PC";"DT Workloads",#N/A,FALSE,"DT"}</definedName>
    <definedName name="BCS" hidden="1">{"Title",#N/A,FALSE,"TITLE";"Index",#N/A,FALSE,"INDEX";"SUM",#N/A,FALSE,"SUM";"Major Room",#N/A,FALSE,"MROOM";"DraftComp",#N/A,FALSE,"DraftComp";"PA",#N/A,FALSE,"PA";"PC",#N/A,FALSE,"PC";"DT",#N/A,FALSE,"DT";"BS",#N/A,FALSE,"BS"}</definedName>
    <definedName name="BDALLOW">#REF!</definedName>
    <definedName name="BDPRTHIS">#REF!</definedName>
    <definedName name="beds2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BEG">#REF!</definedName>
    <definedName name="Beg_Bal">#REF!</definedName>
    <definedName name="BIG">#REF!</definedName>
    <definedName name="BILL">#REF!</definedName>
    <definedName name="BIN">#REF!</definedName>
    <definedName name="BLOCK1">#REF!</definedName>
    <definedName name="BLOCK10">#REF!</definedName>
    <definedName name="BLOCK11">#REF!</definedName>
    <definedName name="BLOCK12">#REF!</definedName>
    <definedName name="BLOCK13">#REF!</definedName>
    <definedName name="BLOCK14">#REF!</definedName>
    <definedName name="BLOCK15">#REF!</definedName>
    <definedName name="BLOCK16">#REF!</definedName>
    <definedName name="BLOCK17">#REF!</definedName>
    <definedName name="BLOCK18">#REF!</definedName>
    <definedName name="BLOCK19">#REF!</definedName>
    <definedName name="BLOCK2">#REF!</definedName>
    <definedName name="BLOCK20">#REF!</definedName>
    <definedName name="BLOCK21">#REF!</definedName>
    <definedName name="BLOCK22">#REF!</definedName>
    <definedName name="BLOCK23">#REF!</definedName>
    <definedName name="block24">#REF!</definedName>
    <definedName name="BLOCK25">#REF!</definedName>
    <definedName name="BLOCK26">#REF!</definedName>
    <definedName name="BLOCK27">#REF!</definedName>
    <definedName name="BLOCK28">#REF!</definedName>
    <definedName name="BLOCK29">#REF!</definedName>
    <definedName name="BLOCK3">#REF!</definedName>
    <definedName name="BLOCK30">#REF!</definedName>
    <definedName name="block31">#REF!</definedName>
    <definedName name="BLOCK32">#REF!</definedName>
    <definedName name="block33">#REF!</definedName>
    <definedName name="BLOCK34">#REF!</definedName>
    <definedName name="BLOCK35">#REF!</definedName>
    <definedName name="BLOCK36">#REF!</definedName>
    <definedName name="BLOCK37">#REF!</definedName>
    <definedName name="BLOCK4">#REF!</definedName>
    <definedName name="BLOCK5">#REF!</definedName>
    <definedName name="BLOCK6">#REF!</definedName>
    <definedName name="BLOCK7">#REF!</definedName>
    <definedName name="BLOCK8">#REF!</definedName>
    <definedName name="BLOCK9">#REF!</definedName>
    <definedName name="blue01">#REF!</definedName>
    <definedName name="blue02">#REF!</definedName>
    <definedName name="blue03">#REF!</definedName>
    <definedName name="BOND">#REF!</definedName>
    <definedName name="BOT">#REF!</definedName>
    <definedName name="Brand">INDEX(Lists!$U$4:$U$8, 'Sales Team Input Sheet'!$F$23)</definedName>
    <definedName name="CA" hidden="1">{"Title",#N/A,FALSE,"TITLE";"Index",#N/A,FALSE,"INDEX";"SUM",#N/A,FALSE,"SUM";"Major Room",#N/A,FALSE,"MROOM";"DraftComp",#N/A,FALSE,"DraftComp";"PA",#N/A,FALSE,"PA";"PC",#N/A,FALSE,"PC";"DT",#N/A,FALSE,"DT";"BS",#N/A,FALSE,"BS"}</definedName>
    <definedName name="Calculate_Adjustment">#REF!</definedName>
    <definedName name="can">#REF!</definedName>
    <definedName name="cardiaccaths">#REF!</definedName>
    <definedName name="cases">#REF!</definedName>
    <definedName name="Cath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CCath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cd">#REF!</definedName>
    <definedName name="Ceiling_Budget">#REF!</definedName>
    <definedName name="CENSUS">#REF!</definedName>
    <definedName name="CER">#REF!</definedName>
    <definedName name="CHANGES">#REF!</definedName>
    <definedName name="CHARGES">#REF!</definedName>
    <definedName name="Child" hidden="1">{"Workloads",#N/A,TRUE,"PC"}</definedName>
    <definedName name="ChildAdvocacy">#REF!</definedName>
    <definedName name="CODE_BLOCK">#REF!</definedName>
    <definedName name="CODE_SUBJECT">#REF!</definedName>
    <definedName name="CODE1">#REF!</definedName>
    <definedName name="code2">#REF!</definedName>
    <definedName name="CODE3">#REF!</definedName>
    <definedName name="CODE4">#REF!</definedName>
    <definedName name="CODE5">#REF!</definedName>
    <definedName name="CODES">#REF!</definedName>
    <definedName name="CODING">#REF!</definedName>
    <definedName name="COM">#REF!</definedName>
    <definedName name="COST">#REF!</definedName>
    <definedName name="count">#REF!</definedName>
    <definedName name="COW">#REF!</definedName>
    <definedName name="CP">#REF!</definedName>
    <definedName name="CritO">'[2]FAC FEE COMPARISON'!#REF!</definedName>
    <definedName name="CRUMB">#REF!</definedName>
    <definedName name="CS">#REF!</definedName>
    <definedName name="CST">#REF!</definedName>
    <definedName name="Cum_Int">#REF!</definedName>
    <definedName name="Current_Dollar">[3]Standardwerte!$C$8</definedName>
    <definedName name="d">#REF!</definedName>
    <definedName name="DAP">#REF!</definedName>
    <definedName name="Data">[4]Data!$B$15:$AM$91</definedName>
    <definedName name="DataBegin1">#REF!</definedName>
    <definedName name="DATAENTRY">#REF!</definedName>
    <definedName name="DATAFEES">#REF!</definedName>
    <definedName name="DATAFEES2">#REF!</definedName>
    <definedName name="DATAFRINGE">#REF!</definedName>
    <definedName name="DATANONOP">#REF!</definedName>
    <definedName name="DATAOTHEROP">#REF!</definedName>
    <definedName name="DATASAL">#REF!</definedName>
    <definedName name="DATASAL2">#REF!</definedName>
    <definedName name="DATASTAT">#REF!</definedName>
    <definedName name="DATASUPP">#REF!</definedName>
    <definedName name="DATE">#REF!</definedName>
    <definedName name="Date_of_Issue">#REF!</definedName>
    <definedName name="days">#REF!</definedName>
    <definedName name="DAYSFC">#REF!</definedName>
    <definedName name="DAYSFCPRTHIS">#REF!</definedName>
    <definedName name="DAYSFCYTD">#REF!</definedName>
    <definedName name="de" hidden="1">#REF!</definedName>
    <definedName name="DEBUG">#REF!</definedName>
    <definedName name="Description_of_Service">#REF!</definedName>
    <definedName name="df" hidden="1">#REF!</definedName>
    <definedName name="dfd" hidden="1">{#N/A,#N/A,TRUE,"T 10";#N/A,#N/A,TRUE,"A 10";#N/A,#N/A,TRUE,"S1";#N/A,#N/A,TRUE,"SP&amp;Renew";#N/A,#N/A,TRUE,"Sub &amp; Move";#N/A,#N/A,TRUE,"sublease"}</definedName>
    <definedName name="dfdf" hidden="1">{#N/A,#N/A,TRUE,"G PreTotal";#N/A,#N/A,TRUE,"G AfterTotal";#N/A,#N/A,TRUE,"G PreAnnualChart";#N/A,#N/A,TRUE,"G AfterAnnualChart";#N/A,#N/A,TRUE,"G S1";#N/A,#N/A,TRUE,"G LL";#N/A,#N/A,TRUE,"G Ten";#N/A,#N/A,TRUE,"G Ten 467";#N/A,#N/A,TRUE,"G BTS-Con";#N/A,#N/A,TRUE,"G RTS-Con";#N/A,#N/A,TRUE,"G BTS-Fixed";#N/A,#N/A,TRUE,"G Synth"}</definedName>
    <definedName name="dfdfdf" hidden="1">{#N/A,#N/A,TRUE,"GAAPCHART";#N/A,#N/A,TRUE,"GPreTaxAnnual";#N/A,#N/A,TRUE,"GAfterTaxAnnual";#N/A,#N/A,TRUE,"GSummary1";#N/A,#N/A,TRUE,"GBTS-Conv.";#N/A,#N/A,TRUE,"GFixedFee";#N/A,#N/A,TRUE,"GConvLease";#N/A,#N/A,TRUE,"GRenovate";#N/A,#N/A,TRUE,"GRenFixed";#N/A,#N/A,TRUE,"GFixed467";#N/A,#N/A,TRUE,"GPurchase";#N/A,#N/A,TRUE,"GSynth";#N/A,#N/A,TRUE,"GSubAsum"}</definedName>
    <definedName name="dict">[5]dictionary!$A$1:$C$65536</definedName>
    <definedName name="DISCHFC">#REF!</definedName>
    <definedName name="DISCHFCPRTHIS">#REF!</definedName>
    <definedName name="DISCHFCYTD">#REF!</definedName>
    <definedName name="dldl" hidden="1">{"Major Room",#N/A,FALSE,"MROOM"}</definedName>
    <definedName name="dm">[6]Standardwerte!#REF!</definedName>
    <definedName name="dollarzueuro">[7]Standardwerte!$C$6</definedName>
    <definedName name="don">#REF!</definedName>
    <definedName name="DONATION">#REF!</definedName>
    <definedName name="DONPRTHIS">#REF!</definedName>
    <definedName name="DROP">#REF!</definedName>
    <definedName name="DSUMS">#REF!</definedName>
    <definedName name="dummy">#REF!</definedName>
    <definedName name="DUMMY1">#REF!</definedName>
    <definedName name="DUMMY2">#REF!</definedName>
    <definedName name="DUMMY3">#REF!</definedName>
    <definedName name="DUMMY4">#REF!</definedName>
    <definedName name="DUMMY5">#REF!</definedName>
    <definedName name="DurationValidation">'[8]Volume Projections'!$S$14:$S$25</definedName>
    <definedName name="edrevised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eew">#REF!</definedName>
    <definedName name="EMPTY">#REF!</definedName>
    <definedName name="End">'[2]FAC FEE COMPARISON'!#REF!</definedName>
    <definedName name="End_Bal">'[9]Loan Amortization Schedule'!$I$18:$I$377</definedName>
    <definedName name="ENTRY">#REF!</definedName>
    <definedName name="EU">#REF!</definedName>
    <definedName name="euro">[7]Standardwerte!$C$4</definedName>
    <definedName name="ewew">#REF!</definedName>
    <definedName name="ewwe" hidden="1">#REF!</definedName>
    <definedName name="ewwf" hidden="1">#REF!</definedName>
    <definedName name="EXCESS">#REF!</definedName>
    <definedName name="EXCESSSOP">#REF!</definedName>
    <definedName name="EXCMO">#REF!</definedName>
    <definedName name="EXCOPMO">#REF!</definedName>
    <definedName name="EXCOPYTD">#REF!</definedName>
    <definedName name="EXCYTD">#REF!</definedName>
    <definedName name="Expediture">#REF!</definedName>
    <definedName name="Extra_Pay">#REF!</definedName>
    <definedName name="f">#REF!</definedName>
    <definedName name="FA">#REF!</definedName>
    <definedName name="FAT">#REF!</definedName>
    <definedName name="fdf" hidden="1">{#N/A,#N/A,TRUE,"T-5Yr";#N/A,#N/A,TRUE,"T-7yr";#N/A,#N/A,TRUE,"S";#N/A,#N/A,TRUE,"2000Satellite-7";#N/A,#N/A,TRUE,"Avalon North-7";#N/A,#N/A,TRUE,"2000Satellite-5";#N/A,#N/A,TRUE,"Avalon North-5"}</definedName>
    <definedName name="feb">[10]Sheet1!$A$5:$B$5565</definedName>
    <definedName name="Fee_Remaining">#REF!</definedName>
    <definedName name="FEE_SUPP">#REF!</definedName>
    <definedName name="FEEPRTHIS">#REF!</definedName>
    <definedName name="FINANSTMT">#REF!</definedName>
    <definedName name="FIND_BLANK">#REF!</definedName>
    <definedName name="FINDIND">#REF!</definedName>
    <definedName name="FINDING">#REF!</definedName>
    <definedName name="FIRST1">#REF!</definedName>
    <definedName name="FIRST2">#REF!</definedName>
    <definedName name="FIRST3">#REF!</definedName>
    <definedName name="FIRST4">#REF!</definedName>
    <definedName name="FIRST5">#REF!</definedName>
    <definedName name="FIRST6">#REF!</definedName>
    <definedName name="FIS_Entries">#REF!</definedName>
    <definedName name="FloorPlanData">#REF!</definedName>
    <definedName name="FRAP">#REF!</definedName>
    <definedName name="FRINGEPRTHIS">#REF!</definedName>
    <definedName name="FRO">#REF!</definedName>
    <definedName name="FULL">#REF!</definedName>
    <definedName name="Full_Print">#REF!</definedName>
    <definedName name="FUNNY">#REF!</definedName>
    <definedName name="FY">#REF!</definedName>
    <definedName name="GAT">#REF!</definedName>
    <definedName name="GN">#REF!</definedName>
    <definedName name="gtererfg">#REF!</definedName>
    <definedName name="Hastings_and_Bexhill_WTW___UWWTD_Enhancements">#REF!</definedName>
    <definedName name="Header_Row">ROW('[9]Loan Amortization Schedule'!$17:$17)</definedName>
    <definedName name="hell">#REF!</definedName>
    <definedName name="history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HOLD">#REF!</definedName>
    <definedName name="HOME">#REF!</definedName>
    <definedName name="HOP">#REF!</definedName>
    <definedName name="HR" hidden="1">{"Workloads",#N/A,TRUE,"PC"}</definedName>
    <definedName name="HRes" hidden="1">{"Workloads",#N/A,FALSE,"PC";"DT Workloads",#N/A,FALSE,"DT"}</definedName>
    <definedName name="HResourse" hidden="1">{"DT Workloads",#N/A,FALSE,"DT"}</definedName>
    <definedName name="Human" hidden="1">{"Workloads",#N/A,TRUE,"PC"}</definedName>
    <definedName name="HumanResources" hidden="1">{"Cost Title",#N/A,FALSE,"TITLE";"Dept",#N/A,FALSE,"DEPT";"ProjCst",#N/A,FALSE,"PROJ"}</definedName>
    <definedName name="INC">#REF!</definedName>
    <definedName name="INCE">#REF!</definedName>
    <definedName name="INCEN">#REF!</definedName>
    <definedName name="Int">#REF!</definedName>
    <definedName name="Interest_Rate">'[9]Loan Amortization Schedule'!$D$6</definedName>
    <definedName name="INVOICE_RECEIPT">#REF!</definedName>
    <definedName name="IPREV">#REF!</definedName>
    <definedName name="IPREVPRTHIS">#REF!</definedName>
    <definedName name="iu">#REF!</definedName>
    <definedName name="J">#REF!</definedName>
    <definedName name="JES">[11]ORAL!#REF!</definedName>
    <definedName name="jme">#REF!</definedName>
    <definedName name="JUMP">#REF!</definedName>
    <definedName name="LAP">#REF!</definedName>
    <definedName name="LAST">#REF!</definedName>
    <definedName name="Last_Row">IF(Values_Entered,Header_Row+Number_of_Payments,Header_Row)</definedName>
    <definedName name="LC">#REF!</definedName>
    <definedName name="LETTER">#REF!</definedName>
    <definedName name="LINE">#REF!</definedName>
    <definedName name="LIS">#REF!</definedName>
    <definedName name="List">[12]List!$A$1:$A$57</definedName>
    <definedName name="Loan_Amount">'[9]Loan Amortization Schedule'!$D$5</definedName>
    <definedName name="Loan_Start">'[9]Loan Amortization Schedule'!$D$9</definedName>
    <definedName name="Loan_Years">'[9]Loan Amortization Schedule'!$D$7</definedName>
    <definedName name="loc">#REF!</definedName>
    <definedName name="LOOK">#REF!</definedName>
    <definedName name="LOOP">#REF!</definedName>
    <definedName name="LOVE">#REF!</definedName>
    <definedName name="LUV">#REF!</definedName>
    <definedName name="m">#REF!</definedName>
    <definedName name="Mammo_Monthly">#REF!</definedName>
    <definedName name="master_def">#REF!</definedName>
    <definedName name="MatureOcc">#REF!</definedName>
    <definedName name="MedStaffPercent">'[13]Inputs-Medical Staff Plan'!#REF!</definedName>
    <definedName name="MEMO">#REF!</definedName>
    <definedName name="MEMO2">#REF!</definedName>
    <definedName name="MESSAGE6">#REF!</definedName>
    <definedName name="MESSAGE61">#REF!</definedName>
    <definedName name="MID">#REF!</definedName>
    <definedName name="MIH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Mns" hidden="1">{"Title",#N/A,FALSE,"TITLE";"Index",#N/A,FALSE,"INDEX";"SUM",#N/A,FALSE,"SUM";"Major Room",#N/A,FALSE,"MROOM";"DraftComp",#N/A,FALSE,"DraftComp";"PA",#N/A,FALSE,"PA";"PC",#N/A,FALSE,"PC";"DT",#N/A,FALSE,"DT";"BS",#N/A,FALSE,"BS"}</definedName>
    <definedName name="MONTH">#REF!</definedName>
    <definedName name="MRI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MULTIPLE">#REF!</definedName>
    <definedName name="mwst">[14]Standardwerte!$C$2</definedName>
    <definedName name="names">#REF!</definedName>
    <definedName name="NE">#REF!</definedName>
    <definedName name="NEW">#REF!</definedName>
    <definedName name="NEW_CODE">#REF!</definedName>
    <definedName name="NEW_PROMIS">#REF!</definedName>
    <definedName name="NEW_SUBJECT">#REF!</definedName>
    <definedName name="no">#REF!</definedName>
    <definedName name="NONOPPRTHIS">#REF!</definedName>
    <definedName name="Num_Pmt_Per_Year">#REF!</definedName>
    <definedName name="Number_of_Payments">MATCH(0.01,End_Bal,-1)+1</definedName>
    <definedName name="NvsASD">"V2009-09-30"</definedName>
    <definedName name="NvsAutoDrillOk">"VN"</definedName>
    <definedName name="NvsElapsedTime">0.0000462962998426519</definedName>
    <definedName name="NvsEndTime">40120.4577777778</definedName>
    <definedName name="NvsInstLang">"VENG"</definedName>
    <definedName name="NvsInstSpec">"%,FDEPTID,V500120"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"%,X,RZF..NPLODE,CZF.."</definedName>
    <definedName name="NvsPanelBusUnit">"V"</definedName>
    <definedName name="NvsPanelEffdt">"V1901-01-01"</definedName>
    <definedName name="NvsPanelSetid">"VHCEHC"</definedName>
    <definedName name="NvsReqBU">"VHCEHC"</definedName>
    <definedName name="NvsReqBUOnly">"VN"</definedName>
    <definedName name="NvsTransLed">"VN"</definedName>
    <definedName name="NvsTreeASD">"V2009-09-30"</definedName>
    <definedName name="NvsValTbl.BUSINESS_UNIT">"BUS_UNIT_TBL_GL"</definedName>
    <definedName name="OCT">#REF!</definedName>
    <definedName name="Office">#REF!</definedName>
    <definedName name="ok" hidden="1">'[15]Clinic A Clinical'!#REF!</definedName>
    <definedName name="OLD">#REF!</definedName>
    <definedName name="OP">[16]B!$B$175:$I$201</definedName>
    <definedName name="Operations">#REF!</definedName>
    <definedName name="OPREV">#REF!</definedName>
    <definedName name="OPREVPRTHIS">#REF!</definedName>
    <definedName name="OPTIFASTREV">#REF!</definedName>
    <definedName name="OPTIPL">#REF!</definedName>
    <definedName name="OPVALUE">#REF!</definedName>
    <definedName name="Order">#REF!</definedName>
    <definedName name="Order_Number">#REF!</definedName>
    <definedName name="order_page">#REF!</definedName>
    <definedName name="OrderCount">#REF!</definedName>
    <definedName name="ORIGINAL">#REF!</definedName>
    <definedName name="orstats">#REF!</definedName>
    <definedName name="othermarket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OTHEROPPRTHIS">#REF!</definedName>
    <definedName name="OverheadEff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7A">#REF!</definedName>
    <definedName name="PAGE8">#REF!</definedName>
    <definedName name="PAGE9">#REF!</definedName>
    <definedName name="Parking">#REF!</definedName>
    <definedName name="Pay_Date">#REF!</definedName>
    <definedName name="Pay_Num">#REF!</definedName>
    <definedName name="Payment_Date">DATE(YEAR([0]!Loan_Start),MONTH([0]!Loan_Start)+Payment_Number,DAY([0]!Loan_Start))</definedName>
    <definedName name="payormix">#REF!</definedName>
    <definedName name="PL">#REF!</definedName>
    <definedName name="Placed_with">#REF!</definedName>
    <definedName name="PLCHECK">#REF!</definedName>
    <definedName name="PLINK">#REF!</definedName>
    <definedName name="Predicted_Profile">#REF!</definedName>
    <definedName name="preliminary">#REF!</definedName>
    <definedName name="Princ">#REF!</definedName>
    <definedName name="_xlnm.Print_Area" localSheetId="1">'Sales Team Input Sheet'!$A$1:$G$57</definedName>
    <definedName name="_xlnm.Print_Area">#REF!</definedName>
    <definedName name="Print_Area_A">'[17]D&amp;Ts'!$A$8:$P$338</definedName>
    <definedName name="Print_Area_MI">#REF!</definedName>
    <definedName name="Print_Area_MI2">#REF!</definedName>
    <definedName name="Print_Area_Reset">OFFSET(Full_Print,0,0,[0]!Last_Row)</definedName>
    <definedName name="Print_Titles_A">'[17]D&amp;Ts'!$1:$7</definedName>
    <definedName name="Print_Titles_MI">#REF!</definedName>
    <definedName name="PRINTER">#REF!</definedName>
    <definedName name="PRIOR">'[15]Clinic A Clinical'!#REF!</definedName>
    <definedName name="PRIOR2">'[15]Clinic A Clinical'!#REF!</definedName>
    <definedName name="PROFEES">#REF!</definedName>
    <definedName name="Profile">#REF!</definedName>
    <definedName name="ProjName">'[18]Control Panel'!$D$7</definedName>
    <definedName name="PROMIS_Contract_Category">#REF!</definedName>
    <definedName name="PROMISES">#REF!</definedName>
    <definedName name="PropData">#REF!</definedName>
    <definedName name="PSPAGE1">#REF!</definedName>
    <definedName name="PSPAGE2">#REF!</definedName>
    <definedName name="PSPAGE3">#REF!</definedName>
    <definedName name="qq">#REF!</definedName>
    <definedName name="Query_13_wo_FY">#REF!</definedName>
    <definedName name="rD3.CostShareGas">#REF!</definedName>
    <definedName name="rD3.CostShareHeating">#REF!</definedName>
    <definedName name="rD3.CostSharePower">#REF!</definedName>
    <definedName name="rD3.CostShareRainWater">#REF!</definedName>
    <definedName name="rD3.CostShareRoads">#REF!</definedName>
    <definedName name="rD3.CostShareSewage">#REF!</definedName>
    <definedName name="rD3.CostShareTelecom">#REF!</definedName>
    <definedName name="rD3.CostShareWaterSupply">#REF!</definedName>
    <definedName name="rD3.TotalCostGas">#REF!</definedName>
    <definedName name="rD3.TotalCostHeating">#REF!</definedName>
    <definedName name="rD3.TotalCostPower">#REF!</definedName>
    <definedName name="rD3.TotalCostRainWater">#REF!</definedName>
    <definedName name="rD3.TotalCostRoadConstruction">#REF!</definedName>
    <definedName name="rD3.TotalCostSewage">#REF!</definedName>
    <definedName name="rD3.TotalCostTelecom">#REF!</definedName>
    <definedName name="rD3.TotalCostWaterSupply">#REF!</definedName>
    <definedName name="req">#REF!</definedName>
    <definedName name="REST">#REF!</definedName>
    <definedName name="RIP">#REF!</definedName>
    <definedName name="s">#REF!</definedName>
    <definedName name="SAB">#REF!</definedName>
    <definedName name="SAL_FRINGE">#REF!</definedName>
    <definedName name="SALPRTHIS">#REF!</definedName>
    <definedName name="SAT">#REF!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SCREEN">#REF!</definedName>
    <definedName name="SE">#REF!</definedName>
    <definedName name="sec">#REF!</definedName>
    <definedName name="SelectedSection">[19]Cardiology!$D$6</definedName>
    <definedName name="SELECTS">#REF!</definedName>
    <definedName name="SEP">#REF!</definedName>
    <definedName name="ServiceAreaDefine">#REF!</definedName>
    <definedName name="ServiceAreaList">#REF!</definedName>
    <definedName name="sf">#REF!</definedName>
    <definedName name="SHEET">#REF!</definedName>
    <definedName name="SLAP">#REF!</definedName>
    <definedName name="sortcol">#REF!</definedName>
    <definedName name="SpaceName">[20]Standards_1!$C$2:$C$836</definedName>
    <definedName name="Specialty">#REF!</definedName>
    <definedName name="sqewdq" hidden="1">#REF!</definedName>
    <definedName name="start">#REF!</definedName>
    <definedName name="START1">#REF!</definedName>
    <definedName name="START2">#REF!</definedName>
    <definedName name="START3">#REF!</definedName>
    <definedName name="START4">#REF!</definedName>
    <definedName name="START5">#REF!</definedName>
    <definedName name="START6">#REF!</definedName>
    <definedName name="STAT">#REF!</definedName>
    <definedName name="STATPRTHIS">#REF!</definedName>
    <definedName name="STATSHELL">#REF!</definedName>
    <definedName name="STATYTD">#REF!</definedName>
    <definedName name="sterile" hidden="1">{"Title",#N/A,FALSE,"TITLE";"Index",#N/A,FALSE,"INDEX";"SUM",#N/A,FALSE,"SUM";"Major Room",#N/A,FALSE,"MROOM";"DraftComp",#N/A,FALSE,"DraftComp";"PA",#N/A,FALSE,"PA";"PC",#N/A,FALSE,"PC";"DT",#N/A,FALSE,"DT";"BS",#N/A,FALSE,"BS"}</definedName>
    <definedName name="STORE">#REF!</definedName>
    <definedName name="sub">#REF!</definedName>
    <definedName name="SUBACCT">'[21]Data Validation Tables'!$C$2:$C$8</definedName>
    <definedName name="Subheadings">[20]Standards_1!$I$4:$I$9</definedName>
    <definedName name="SUBJECT1">#REF!</definedName>
    <definedName name="SUBJECT10">#REF!</definedName>
    <definedName name="SUBJECT2">#REF!</definedName>
    <definedName name="SUBJECT3">#REF!</definedName>
    <definedName name="SUBJECT4">#REF!</definedName>
    <definedName name="SUBJECT5">#REF!</definedName>
    <definedName name="SUBJECT6">#REF!</definedName>
    <definedName name="SUBJECT7">#REF!</definedName>
    <definedName name="SUBJECT8">#REF!</definedName>
    <definedName name="SUBJECT9">#REF!</definedName>
    <definedName name="Subjective_Code">#REF!</definedName>
    <definedName name="SUBJECTIVES">#REF!</definedName>
    <definedName name="SUBJECTS">#REF!</definedName>
    <definedName name="SUBJS">#REF!</definedName>
    <definedName name="Submitted_Fee_Invoice">#REF!</definedName>
    <definedName name="summaries_page">#REF!</definedName>
    <definedName name="SummaryData1">#REF!</definedName>
    <definedName name="SUPPPRTHIS">#REF!</definedName>
    <definedName name="T">#REF!</definedName>
    <definedName name="TABLE">#REF!</definedName>
    <definedName name="TABLE_CERS">#REF!</definedName>
    <definedName name="TB">#REF!</definedName>
    <definedName name="tblCER_S">#REF!</definedName>
    <definedName name="TEST">#REF!</definedName>
    <definedName name="TI">#REF!</definedName>
    <definedName name="timeline">[3]Standardwerte!$C$9</definedName>
    <definedName name="TITLEADM">#REF!</definedName>
    <definedName name="TITLEHOUSE">#REF!</definedName>
    <definedName name="TITLEPROF">#REF!</definedName>
    <definedName name="TO">#REF!</definedName>
    <definedName name="TodaysDate">'[22]GROUPED vers. 2'!$C$1</definedName>
    <definedName name="TOP">#REF!</definedName>
    <definedName name="Total_Interest">#REF!</definedName>
    <definedName name="Total_Pay">#REF!</definedName>
    <definedName name="Total_Payment">Scheduled_Payment+Extra_Payment</definedName>
    <definedName name="TOTALPL">#REF!</definedName>
    <definedName name="TOTALREV">#REF!</definedName>
    <definedName name="Towerr" hidden="1">#REF!</definedName>
    <definedName name="Type">#REF!</definedName>
    <definedName name="UNREST">#REF!</definedName>
    <definedName name="UPDATE">#REF!</definedName>
    <definedName name="UPDATES">#REF!</definedName>
    <definedName name="USE">#REF!</definedName>
    <definedName name="Values_Entered">IF(Loan_Amount*Interest_Rate*Loan_Years*Loan_Start&gt;0,1,0)</definedName>
    <definedName name="Vendors">'[23]Vendor List'!$A$2:$A$4999</definedName>
    <definedName name="vfdf" hidden="1">{#N/A,#N/A,TRUE,"PreTaxChart";#N/A,#N/A,TRUE,"AfterTChart";#N/A,#N/A,TRUE,"PreTaxAnnual";#N/A,#N/A,TRUE,"AfterTaxAnnual";#N/A,#N/A,TRUE,"Summary1";#N/A,#N/A,TRUE,"BTS-Conv.";#N/A,#N/A,TRUE,"FixedFee";#N/A,#N/A,TRUE,"ConvLease";#N/A,#N/A,TRUE,"Renovate";#N/A,#N/A,TRUE,"RenFixed";#N/A,#N/A,TRUE,"Fixed467";#N/A,#N/A,TRUE,"Purchase";#N/A,#N/A,TRUE,"Synth";#N/A,#N/A,TRUE,"SubAsum"}</definedName>
    <definedName name="VLK">#REF!</definedName>
    <definedName name="WHY">#REF!</definedName>
    <definedName name="wrn.All._.Workloads." hidden="1">{"Workloads",#N/A,FALSE,"PC";"DT Workloads",#N/A,FALSE,"DT"}</definedName>
    <definedName name="wrn.Ameritel." hidden="1">{#N/A,#N/A,TRUE,"T-5Yr";#N/A,#N/A,TRUE,"T-7yr";#N/A,#N/A,TRUE,"S";#N/A,#N/A,TRUE,"2000Satellite-7";#N/A,#N/A,TRUE,"Avalon North-7";#N/A,#N/A,TRUE,"2000Satellite-5";#N/A,#N/A,TRUE,"Avalon North-5"}</definedName>
    <definedName name="wrn.Bekaert02." hidden="1">{#N/A,#N/A,TRUE,"TotalChart";#N/A,#N/A,TRUE,"NPVChart";#N/A,#N/A,TRUE,"AnnualChart";#N/A,#N/A,TRUE,"Summary1";#N/A,#N/A,TRUE,"Land";#N/A,#N/A,TRUE,"Ten";#N/A,#N/A,TRUE,"Comp"}</definedName>
    <definedName name="wrn.Cost." hidden="1">{"Cost Title",#N/A,FALSE,"TITLE";"Dept",#N/A,FALSE,"DEPT";"ProjCst",#N/A,FALSE,"PROJ"}</definedName>
    <definedName name="wrn.DowLohnes." hidden="1">{#N/A,#N/A,TRUE,"T 10";#N/A,#N/A,TRUE,"A 10";#N/A,#N/A,TRUE,"S1";#N/A,#N/A,TRUE,"SP&amp;Renew";#N/A,#N/A,TRUE,"Sub &amp; Move";#N/A,#N/A,TRUE,"sublease"}</definedName>
    <definedName name="wrn.DT._.Workloads." hidden="1">{"DT Workloads",#N/A,FALSE,"DT"}</definedName>
    <definedName name="wrn.GAAP." hidden="1">{#N/A,#N/A,TRUE,"G PreTotal";#N/A,#N/A,TRUE,"G AfterTotal";#N/A,#N/A,TRUE,"G PreAnnualChart";#N/A,#N/A,TRUE,"G AfterAnnualChart";#N/A,#N/A,TRUE,"G S1";#N/A,#N/A,TRUE,"G LL";#N/A,#N/A,TRUE,"G Ten";#N/A,#N/A,TRUE,"G Ten 467";#N/A,#N/A,TRUE,"G BTS-Con";#N/A,#N/A,TRUE,"G RTS-Con";#N/A,#N/A,TRUE,"G BTS-Fixed";#N/A,#N/A,TRUE,"G Synth"}</definedName>
    <definedName name="wrn.GAAPHeinz." hidden="1">{#N/A,#N/A,TRUE,"GAAPCHART";#N/A,#N/A,TRUE,"GPreTaxAnnual";#N/A,#N/A,TRUE,"GAfterTaxAnnual";#N/A,#N/A,TRUE,"GSummary1";#N/A,#N/A,TRUE,"GBTS-Conv.";#N/A,#N/A,TRUE,"GFixedFee";#N/A,#N/A,TRUE,"GConvLease";#N/A,#N/A,TRUE,"GRenovate";#N/A,#N/A,TRUE,"GRenFixed";#N/A,#N/A,TRUE,"GFixed467";#N/A,#N/A,TRUE,"GPurchase";#N/A,#N/A,TRUE,"GSynth";#N/A,#N/A,TRUE,"GSubAsum"}</definedName>
    <definedName name="wrn.Heniz01." hidden="1">{#N/A,#N/A,TRUE,"PreTaxChart";#N/A,#N/A,TRUE,"AfterTChart";#N/A,#N/A,TRUE,"PreTaxAnnual";#N/A,#N/A,TRUE,"AfterTaxAnnual";#N/A,#N/A,TRUE,"Summary1";#N/A,#N/A,TRUE,"BTS-Conv.";#N/A,#N/A,TRUE,"FixedFee";#N/A,#N/A,TRUE,"ConvLease";#N/A,#N/A,TRUE,"Renovate";#N/A,#N/A,TRUE,"RenFixed";#N/A,#N/A,TRUE,"Fixed467";#N/A,#N/A,TRUE,"Purchase";#N/A,#N/A,TRUE,"Synth";#N/A,#N/A,TRUE,"SubAsum"}</definedName>
    <definedName name="wrn.Honey." hidden="1">{#N/A,#N/A,TRUE,"Revised LeaseCashChart";#N/A,#N/A,TRUE,"Original AggCashChart";#N/A,#N/A,TRUE,"Revised P&amp;L LeaseChart";#N/A,#N/A,TRUE,"Original P&amp;L Chart";#N/A,#N/A,TRUE,"SumLease";#N/A,#N/A,TRUE,"P SumLease";#N/A,#N/A,TRUE,"Lease";#N/A,#N/A,TRUE,"G Lease";#N/A,#N/A,TRUE,"GovernorsLakes";#N/A,#N/A,TRUE,"P GovernorsLakes";#N/A,#N/A,TRUE,"Spalding Ridge53814";#N/A,#N/A,TRUE,"P Spalding Ridge53814";#N/A,#N/A,TRUE,"Spalding Ridge65955";#N/A,#N/A,TRUE,"P Spalding Ridge65955"}</definedName>
    <definedName name="wrn.Landlord." hidden="1">{#N/A,#N/A,TRUE,"LLTotal";#N/A,#N/A,TRUE," LL AnnualChart";#N/A,#N/A,TRUE,"Summary1";#N/A,#N/A,TRUE,"1";#N/A,#N/A,TRUE,"2";#N/A,#N/A,TRUE,"3";#N/A,#N/A,TRUE,"4";#N/A,#N/A,TRUE,"5";#N/A,#N/A,TRUE,"6";#N/A,#N/A,TRUE,"7";#N/A,#N/A,TRUE,"8";#N/A,#N/A,TRUE,"9";#N/A,#N/A,TRUE,"10"}</definedName>
    <definedName name="wrn.Lane01." hidden="1">{#N/A,#N/A,TRUE,"TotalChart";#N/A,#N/A,TRUE,"NPVChart";#N/A,#N/A,TRUE,"AnnualChart";#N/A,#N/A,TRUE,"Summary1";#N/A,#N/A,TRUE,"Land";#N/A,#N/A,TRUE,"Ten";#N/A,#N/A,TRUE,"Glenridge";#N/A,#N/A,TRUE,"10Glenlake";#N/A,#N/A,TRUE,"Palisades"}</definedName>
    <definedName name="wrn.LHSCASH01." hidden="1">{#N/A,#N/A,TRUE,"PreTotal";#N/A,#N/A,TRUE,"AfterTotal";#N/A,#N/A,TRUE,"PreAnnualChart";#N/A,#N/A,TRUE,"AfterAnnualChart";#N/A,#N/A,TRUE,"S1";#N/A,#N/A,TRUE,"LL";#N/A,#N/A,TRUE,"Ten";#N/A,#N/A,TRUE,"Ten 467";#N/A,#N/A,TRUE,"BTS-Con";#N/A,#N/A,TRUE,"RTS-Con";#N/A,#N/A,TRUE,"BTS-Fixed";#N/A,#N/A,TRUE,"Synth"}</definedName>
    <definedName name="wrn.LLCash." hidden="1">{#N/A,#N/A,TRUE,"Comparison";#N/A,#N/A,TRUE,"Annual";#N/A,#N/A,TRUE,"Summary1";#N/A,#N/A,TRUE,"1";#N/A,#N/A,TRUE,"2";#N/A,#N/A,TRUE,"3-ren";#N/A,#N/A,TRUE,"4-new"}</definedName>
    <definedName name="wrn.major._.Room." hidden="1">{"Major Room",#N/A,FALSE,"MROOM"}</definedName>
    <definedName name="wrn.Nation." hidden="1">{#N/A,#N/A,TRUE,"11YrTotal (2)";#N/A,#N/A,TRUE,"Summary (2)";#N/A,#N/A,TRUE,"Barrett";#N/A,#N/A,TRUE,"Barrett12-22-98";#N/A,#N/A,TRUE,"Barrett12-30-98"}</definedName>
    <definedName name="wrn.Nations8." hidden="1">{#N/A,#N/A,TRUE,"sum losses";#N/A,#N/A,TRUE,"subleasePowers";#N/A,#N/A,TRUE,"sublease denver"}</definedName>
    <definedName name="wrn.PC._.Workloads." hidden="1">{"Workloads",#N/A,TRUE,"PC"}</definedName>
    <definedName name="wrn.Print._.All." hidden="1">{"Title",#N/A,FALSE,"TITLE";"Index",#N/A,FALSE,"INDEX";"SUM",#N/A,FALSE,"SUM";"Major Room",#N/A,FALSE,"MROOM";"DraftComp",#N/A,FALSE,"DraftComp";"PA",#N/A,FALSE,"PA";"PC",#N/A,FALSE,"PC";"DT",#N/A,FALSE,"DT";"BS",#N/A,FALSE,"BS"}</definedName>
    <definedName name="wrn.Willowbrook.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x" hidden="1">{#N/A,#N/A,TRUE,"MedSurg";#N/A,#N/A,TRUE,"CDTU";#N/A,#N/A,TRUE,"ED";#N/A,#N/A,TRUE,"LDR";#N/A,#N/A,TRUE,"Nursery";#N/A,#N/A,TRUE,"Surgery";#N/A,#N/A,TRUE,"Endo";#N/A,#N/A,TRUE,"Gen Rad";#N/A,#N/A,TRUE,"CT";#N/A,#N/A,TRUE,"MRI";#N/A,#N/A,TRUE,"Ultrasound";#N/A,#N/A,TRUE,"Mammo";#N/A,#N/A,TRUE,"Nuc Med";#N/A,#N/A,TRUE,"PFT";#N/A,#N/A,TRUE,"Oncology";#N/A,#N/A,TRUE,"Neurology";#N/A,#N/A,TRUE,"Cardio"}</definedName>
    <definedName name="XL">#REF!</definedName>
    <definedName name="xx">#REF!</definedName>
    <definedName name="xxx">#REF!</definedName>
    <definedName name="Y1Occ">#REF!</definedName>
    <definedName name="Y2Occ">#REF!</definedName>
    <definedName name="Y3Occ">#REF!</definedName>
    <definedName name="Year">'[24]Data Sheet'!$F$9:$F$14</definedName>
    <definedName name="YTD">'[15]Clinic A Clinical'!#REF!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5" l="1"/>
  <c r="D6" i="15"/>
  <c r="B7" i="15"/>
  <c r="C7" i="15" s="1"/>
  <c r="D7" i="15"/>
  <c r="B8" i="15"/>
  <c r="C8" i="15" s="1"/>
  <c r="B9" i="15"/>
  <c r="C9" i="15" s="1"/>
  <c r="D5" i="15"/>
  <c r="I136" i="15" l="1"/>
  <c r="H136" i="15"/>
  <c r="G136" i="15"/>
  <c r="F136" i="15"/>
  <c r="J135" i="15"/>
  <c r="J134" i="15"/>
  <c r="J133" i="15"/>
  <c r="J132" i="15"/>
  <c r="J131" i="15"/>
  <c r="J130" i="15"/>
  <c r="J129" i="15"/>
  <c r="J128" i="15"/>
  <c r="J127" i="15"/>
  <c r="J126" i="15"/>
  <c r="J125" i="15"/>
  <c r="J124" i="15"/>
  <c r="J123" i="15"/>
  <c r="J122" i="15"/>
  <c r="J121" i="15"/>
  <c r="J120" i="15"/>
  <c r="J119" i="15"/>
  <c r="J118" i="15"/>
  <c r="J117" i="15"/>
  <c r="J116" i="15"/>
  <c r="J115" i="15"/>
  <c r="J114" i="15"/>
  <c r="J113" i="15"/>
  <c r="J112" i="15"/>
  <c r="J111" i="15"/>
  <c r="J110" i="15"/>
  <c r="J109" i="15"/>
  <c r="J108" i="15"/>
  <c r="J107" i="15"/>
  <c r="J106" i="15"/>
  <c r="J105" i="15"/>
  <c r="J104" i="15"/>
  <c r="J103" i="15"/>
  <c r="J102" i="15"/>
  <c r="J101" i="15"/>
  <c r="J100" i="15"/>
  <c r="J99" i="15"/>
  <c r="J98" i="15"/>
  <c r="J97" i="15"/>
  <c r="J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136" i="15" s="1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C5" i="15"/>
  <c r="C4" i="15"/>
</calcChain>
</file>

<file path=xl/sharedStrings.xml><?xml version="1.0" encoding="utf-8"?>
<sst xmlns="http://schemas.openxmlformats.org/spreadsheetml/2006/main" count="514" uniqueCount="340">
  <si>
    <t>Brands</t>
  </si>
  <si>
    <t>Currency</t>
  </si>
  <si>
    <t>2022 Rate</t>
  </si>
  <si>
    <t>Language</t>
  </si>
  <si>
    <t>Gross Rent (incl Service Charge &amp; Tax)</t>
  </si>
  <si>
    <t>Yes</t>
  </si>
  <si>
    <t>USD</t>
  </si>
  <si>
    <t>English</t>
  </si>
  <si>
    <t>Net Rent</t>
  </si>
  <si>
    <t>No</t>
  </si>
  <si>
    <t>Regus</t>
  </si>
  <si>
    <t>GBP</t>
  </si>
  <si>
    <t>Spaces</t>
  </si>
  <si>
    <t>EUR</t>
  </si>
  <si>
    <t>HQ</t>
  </si>
  <si>
    <t>Signature</t>
  </si>
  <si>
    <t>Not Applicable / Other</t>
  </si>
  <si>
    <t>Fitout costs (GBP psm) - based on Q1 2022 Capex Rate Card</t>
  </si>
  <si>
    <t>Fitout List</t>
  </si>
  <si>
    <t>Country</t>
  </si>
  <si>
    <t>CCY 1</t>
  </si>
  <si>
    <t>CCY 2</t>
  </si>
  <si>
    <t>CCY 3</t>
  </si>
  <si>
    <t>Local Lang 1</t>
  </si>
  <si>
    <t>Local Lang 2</t>
  </si>
  <si>
    <t>Local Lang 3</t>
  </si>
  <si>
    <t>Months</t>
  </si>
  <si>
    <t>Shell &amp; Core</t>
  </si>
  <si>
    <t>AED</t>
  </si>
  <si>
    <t>Algeria</t>
  </si>
  <si>
    <t>DZD</t>
  </si>
  <si>
    <t>Arabic</t>
  </si>
  <si>
    <t>French</t>
  </si>
  <si>
    <t>Jan</t>
  </si>
  <si>
    <t>Open plan office (no partitions)</t>
  </si>
  <si>
    <t>AFN</t>
  </si>
  <si>
    <t>Angola</t>
  </si>
  <si>
    <t>AOA</t>
  </si>
  <si>
    <t>Feb</t>
  </si>
  <si>
    <t>Open plan office (needs 75% partitions)</t>
  </si>
  <si>
    <t>ALL</t>
  </si>
  <si>
    <t>Argentina</t>
  </si>
  <si>
    <t>ARS</t>
  </si>
  <si>
    <t>Spanish</t>
  </si>
  <si>
    <t>Mar</t>
  </si>
  <si>
    <t>Open plan office (needs 50% partitions)</t>
  </si>
  <si>
    <t>Australia</t>
  </si>
  <si>
    <t>AUD</t>
  </si>
  <si>
    <t>Apr</t>
  </si>
  <si>
    <t>Open plan office (needs 25% partitions)</t>
  </si>
  <si>
    <t>Austria</t>
  </si>
  <si>
    <t>German</t>
  </si>
  <si>
    <t>May</t>
  </si>
  <si>
    <t>Takeover</t>
  </si>
  <si>
    <t>Azerbaijan</t>
  </si>
  <si>
    <t>AZN</t>
  </si>
  <si>
    <t>Jun</t>
  </si>
  <si>
    <t>Bahrain</t>
  </si>
  <si>
    <t>BHD</t>
  </si>
  <si>
    <t>Jul</t>
  </si>
  <si>
    <t>BAM</t>
  </si>
  <si>
    <t>Bangladesh</t>
  </si>
  <si>
    <t>BDT</t>
  </si>
  <si>
    <t>Aug</t>
  </si>
  <si>
    <t>BBD</t>
  </si>
  <si>
    <t>Barbados</t>
  </si>
  <si>
    <t>Sep</t>
  </si>
  <si>
    <t>Belarus</t>
  </si>
  <si>
    <t>BYN</t>
  </si>
  <si>
    <t>Oct</t>
  </si>
  <si>
    <t>BGN</t>
  </si>
  <si>
    <t>Belgium</t>
  </si>
  <si>
    <t>Nov</t>
  </si>
  <si>
    <t>Botswana</t>
  </si>
  <si>
    <t>BWP</t>
  </si>
  <si>
    <t>Dec</t>
  </si>
  <si>
    <t>BND</t>
  </si>
  <si>
    <t>Brazil</t>
  </si>
  <si>
    <t>BRL</t>
  </si>
  <si>
    <t>Portuguese</t>
  </si>
  <si>
    <t>Brunei</t>
  </si>
  <si>
    <t>Bulgaria</t>
  </si>
  <si>
    <t>Bulgarian</t>
  </si>
  <si>
    <t>Cambodia</t>
  </si>
  <si>
    <t>KHR</t>
  </si>
  <si>
    <t>CAD</t>
  </si>
  <si>
    <t>Canada</t>
  </si>
  <si>
    <t>CDF</t>
  </si>
  <si>
    <t>Chile</t>
  </si>
  <si>
    <t>CLP</t>
  </si>
  <si>
    <t>CHF</t>
  </si>
  <si>
    <t>China</t>
  </si>
  <si>
    <t>CNY</t>
  </si>
  <si>
    <t>Chinese</t>
  </si>
  <si>
    <t>Colombia</t>
  </si>
  <si>
    <t>COP</t>
  </si>
  <si>
    <t>Costa Rica</t>
  </si>
  <si>
    <t>CRC</t>
  </si>
  <si>
    <t>Croatia</t>
  </si>
  <si>
    <t>HRK</t>
  </si>
  <si>
    <t>Cyprus</t>
  </si>
  <si>
    <t>CZK</t>
  </si>
  <si>
    <t>Czech Republic</t>
  </si>
  <si>
    <t>DJF</t>
  </si>
  <si>
    <t>Denmark</t>
  </si>
  <si>
    <t>DKK</t>
  </si>
  <si>
    <t>Danish</t>
  </si>
  <si>
    <t>Dominican Republic</t>
  </si>
  <si>
    <t>DOP</t>
  </si>
  <si>
    <t>Ecuador</t>
  </si>
  <si>
    <t>Egypt</t>
  </si>
  <si>
    <t>EGP</t>
  </si>
  <si>
    <t>El Salvador</t>
  </si>
  <si>
    <t>ETB</t>
  </si>
  <si>
    <t>Estonia</t>
  </si>
  <si>
    <t>Estonian</t>
  </si>
  <si>
    <t>Finland</t>
  </si>
  <si>
    <t>Finnish</t>
  </si>
  <si>
    <t>France</t>
  </si>
  <si>
    <t>GEL</t>
  </si>
  <si>
    <t>Georgia</t>
  </si>
  <si>
    <t>GHS</t>
  </si>
  <si>
    <t>Germany</t>
  </si>
  <si>
    <t>GNF</t>
  </si>
  <si>
    <t>Ghana</t>
  </si>
  <si>
    <t>GTQ</t>
  </si>
  <si>
    <t>Gibraltar</t>
  </si>
  <si>
    <t>GYD</t>
  </si>
  <si>
    <t>Greece</t>
  </si>
  <si>
    <t>Greek</t>
  </si>
  <si>
    <t>HKD</t>
  </si>
  <si>
    <t>Group</t>
  </si>
  <si>
    <t>Guatemala</t>
  </si>
  <si>
    <t>HTG</t>
  </si>
  <si>
    <t>Guyana</t>
  </si>
  <si>
    <t>HUF</t>
  </si>
  <si>
    <t>Hong Kong</t>
  </si>
  <si>
    <t>IDR</t>
  </si>
  <si>
    <t>Hungary</t>
  </si>
  <si>
    <t>Hungarian</t>
  </si>
  <si>
    <t>ILS</t>
  </si>
  <si>
    <t>Iceland</t>
  </si>
  <si>
    <t>ISK</t>
  </si>
  <si>
    <t>INR</t>
  </si>
  <si>
    <t>India</t>
  </si>
  <si>
    <t>IQD</t>
  </si>
  <si>
    <t>Indonesia</t>
  </si>
  <si>
    <t>Indonesian</t>
  </si>
  <si>
    <t>IRR</t>
  </si>
  <si>
    <t>Iraq</t>
  </si>
  <si>
    <t>Ireland</t>
  </si>
  <si>
    <t>JMD</t>
  </si>
  <si>
    <t>Israel</t>
  </si>
  <si>
    <t>Hebrew</t>
  </si>
  <si>
    <t>JOD</t>
  </si>
  <si>
    <t>Italy</t>
  </si>
  <si>
    <t>Italian</t>
  </si>
  <si>
    <t>JPY</t>
  </si>
  <si>
    <t>Ivory Coast</t>
  </si>
  <si>
    <t>XOF</t>
  </si>
  <si>
    <t>KES</t>
  </si>
  <si>
    <t>Jamaica</t>
  </si>
  <si>
    <t>Japan</t>
  </si>
  <si>
    <t>KRW</t>
  </si>
  <si>
    <t>Jordan</t>
  </si>
  <si>
    <t>KWD</t>
  </si>
  <si>
    <t>Kazakhstan</t>
  </si>
  <si>
    <t>KZT</t>
  </si>
  <si>
    <t>Kenya</t>
  </si>
  <si>
    <t>LBP</t>
  </si>
  <si>
    <t>Kuwait</t>
  </si>
  <si>
    <t>LKR</t>
  </si>
  <si>
    <t>Latvia</t>
  </si>
  <si>
    <t>Latvian</t>
  </si>
  <si>
    <t>LYD</t>
  </si>
  <si>
    <t>Lebanon</t>
  </si>
  <si>
    <t>MAD</t>
  </si>
  <si>
    <t>Lithuania</t>
  </si>
  <si>
    <t>Lithuanian</t>
  </si>
  <si>
    <t>MGA</t>
  </si>
  <si>
    <t>Luxembourg</t>
  </si>
  <si>
    <t>MKD</t>
  </si>
  <si>
    <t>Malaysia</t>
  </si>
  <si>
    <t>MYR</t>
  </si>
  <si>
    <t>Malay</t>
  </si>
  <si>
    <t>MMK</t>
  </si>
  <si>
    <t>Malta</t>
  </si>
  <si>
    <t>MOP</t>
  </si>
  <si>
    <t>Mauritius</t>
  </si>
  <si>
    <t>MUR</t>
  </si>
  <si>
    <t>MRO</t>
  </si>
  <si>
    <t>Mexico</t>
  </si>
  <si>
    <t>MXN</t>
  </si>
  <si>
    <t>Monaco</t>
  </si>
  <si>
    <t>Morocco</t>
  </si>
  <si>
    <t>Mozambique</t>
  </si>
  <si>
    <t>MZN</t>
  </si>
  <si>
    <t>Namibia</t>
  </si>
  <si>
    <t>NAD</t>
  </si>
  <si>
    <t>Nepal</t>
  </si>
  <si>
    <t>NPR</t>
  </si>
  <si>
    <t>NGN</t>
  </si>
  <si>
    <t>Netherlands</t>
  </si>
  <si>
    <t>NOK</t>
  </si>
  <si>
    <t>New Zealand</t>
  </si>
  <si>
    <t>NZD</t>
  </si>
  <si>
    <t>Nigeria</t>
  </si>
  <si>
    <t>Norway</t>
  </si>
  <si>
    <t>OMR</t>
  </si>
  <si>
    <t>Oman</t>
  </si>
  <si>
    <t>PAB</t>
  </si>
  <si>
    <t>Pakistan</t>
  </si>
  <si>
    <t>PKR</t>
  </si>
  <si>
    <t>PEN</t>
  </si>
  <si>
    <t>Panama</t>
  </si>
  <si>
    <t>PHP</t>
  </si>
  <si>
    <t>Paraguay</t>
  </si>
  <si>
    <t>PYG</t>
  </si>
  <si>
    <t>Peru</t>
  </si>
  <si>
    <t>PLN</t>
  </si>
  <si>
    <t>Philippines</t>
  </si>
  <si>
    <t>Poland</t>
  </si>
  <si>
    <t>Polish</t>
  </si>
  <si>
    <t>QAR</t>
  </si>
  <si>
    <t>Portugal</t>
  </si>
  <si>
    <t>RON</t>
  </si>
  <si>
    <t>Puerto Rico</t>
  </si>
  <si>
    <t>RSD</t>
  </si>
  <si>
    <t>Qatar</t>
  </si>
  <si>
    <t>RUB</t>
  </si>
  <si>
    <t>Romania</t>
  </si>
  <si>
    <t>Romanian</t>
  </si>
  <si>
    <t>RWF</t>
  </si>
  <si>
    <t>Russia</t>
  </si>
  <si>
    <t>SAR</t>
  </si>
  <si>
    <t>Saudi Arabia</t>
  </si>
  <si>
    <t>SCR</t>
  </si>
  <si>
    <t>Senegal</t>
  </si>
  <si>
    <t>SDG</t>
  </si>
  <si>
    <t>Serbia</t>
  </si>
  <si>
    <t>SEK</t>
  </si>
  <si>
    <t>Singapore</t>
  </si>
  <si>
    <t>SGD</t>
  </si>
  <si>
    <t>Slovakia</t>
  </si>
  <si>
    <t>Slovak</t>
  </si>
  <si>
    <t>SVC</t>
  </si>
  <si>
    <t>Slovenia</t>
  </si>
  <si>
    <t>THB</t>
  </si>
  <si>
    <t>South Africa</t>
  </si>
  <si>
    <t>ZAR</t>
  </si>
  <si>
    <t>TJS</t>
  </si>
  <si>
    <t>South Korea</t>
  </si>
  <si>
    <t>Korean</t>
  </si>
  <si>
    <t>TND</t>
  </si>
  <si>
    <t>Spain</t>
  </si>
  <si>
    <t>TRY</t>
  </si>
  <si>
    <t>Sri Lanka</t>
  </si>
  <si>
    <t>TTD</t>
  </si>
  <si>
    <t>Sweden</t>
  </si>
  <si>
    <t>Swedish</t>
  </si>
  <si>
    <t>TWD</t>
  </si>
  <si>
    <t>Switzerland</t>
  </si>
  <si>
    <t>TZS</t>
  </si>
  <si>
    <t>Taiwan</t>
  </si>
  <si>
    <t>Chinese (Taiwan)</t>
  </si>
  <si>
    <t>UAH</t>
  </si>
  <si>
    <t>Tajikistan</t>
  </si>
  <si>
    <t>UGX</t>
  </si>
  <si>
    <t>Tanzania</t>
  </si>
  <si>
    <t>Thailand</t>
  </si>
  <si>
    <t>Thai</t>
  </si>
  <si>
    <t>UYU</t>
  </si>
  <si>
    <t>Trinidad and Tobago</t>
  </si>
  <si>
    <t>UZS</t>
  </si>
  <si>
    <t>Tunisia</t>
  </si>
  <si>
    <t>VES</t>
  </si>
  <si>
    <t>Turkey</t>
  </si>
  <si>
    <t>VND</t>
  </si>
  <si>
    <t>UAE</t>
  </si>
  <si>
    <t>XAF</t>
  </si>
  <si>
    <t>Uganda</t>
  </si>
  <si>
    <t>XCD</t>
  </si>
  <si>
    <t>UK</t>
  </si>
  <si>
    <t>Ukraine</t>
  </si>
  <si>
    <t>Uruguay</t>
  </si>
  <si>
    <t>ZMW</t>
  </si>
  <si>
    <t>USA</t>
  </si>
  <si>
    <t>ZWL</t>
  </si>
  <si>
    <t>USA - West</t>
  </si>
  <si>
    <t>USA - Midwest</t>
  </si>
  <si>
    <t>USA - Central</t>
  </si>
  <si>
    <t>USA - South</t>
  </si>
  <si>
    <t>USA - East</t>
  </si>
  <si>
    <t>Vietnam</t>
  </si>
  <si>
    <t>Vietnamese</t>
  </si>
  <si>
    <t>Zambia</t>
  </si>
  <si>
    <t>Djibouti</t>
  </si>
  <si>
    <t>Honduras</t>
  </si>
  <si>
    <t>HNL</t>
  </si>
  <si>
    <t>Cayman Islands</t>
  </si>
  <si>
    <t>KYD</t>
  </si>
  <si>
    <t>Libya</t>
  </si>
  <si>
    <t>Guinea</t>
  </si>
  <si>
    <t>Other LATAM</t>
  </si>
  <si>
    <t>Center Information</t>
  </si>
  <si>
    <t>Building Name</t>
  </si>
  <si>
    <t>Street Address</t>
  </si>
  <si>
    <t>City</t>
  </si>
  <si>
    <t>Latitude</t>
  </si>
  <si>
    <t>https://www.gps-coordinates.net/</t>
  </si>
  <si>
    <t>Longitude</t>
  </si>
  <si>
    <t>Landlord Entity Name</t>
  </si>
  <si>
    <t>Richard Harris USA</t>
  </si>
  <si>
    <t>Model Inputs and Toggles</t>
  </si>
  <si>
    <t>Gross / Net Rent Model</t>
  </si>
  <si>
    <t>Brand</t>
  </si>
  <si>
    <t>Key Model Inputs</t>
  </si>
  <si>
    <t>Centre Inventory and Revenue Build-up</t>
  </si>
  <si>
    <t>Rentable Area</t>
  </si>
  <si>
    <t>sqft</t>
  </si>
  <si>
    <t>Currently Occupied</t>
  </si>
  <si>
    <t>Estimated Opening Office Occupancy</t>
  </si>
  <si>
    <t>%</t>
  </si>
  <si>
    <t>Property Deal</t>
  </si>
  <si>
    <t>Full Market Rent</t>
  </si>
  <si>
    <t>USD psf p.a.</t>
  </si>
  <si>
    <t>Lease Term</t>
  </si>
  <si>
    <t>years</t>
  </si>
  <si>
    <t>Cost Build-up</t>
  </si>
  <si>
    <r>
      <t xml:space="preserve">Opex </t>
    </r>
    <r>
      <rPr>
        <i/>
        <sz val="9"/>
        <color theme="1"/>
        <rFont val="Arial"/>
        <family val="2"/>
      </rPr>
      <t>(if Building is NNN rent - not FS or Gross Rent)</t>
    </r>
  </si>
  <si>
    <t>Property Information</t>
  </si>
  <si>
    <t>Conventional Lease Incentives</t>
  </si>
  <si>
    <t>months</t>
  </si>
  <si>
    <t>Assumed Void Period</t>
  </si>
  <si>
    <t>Design and Construction</t>
  </si>
  <si>
    <t>Current Fitout Condition</t>
  </si>
  <si>
    <t>Furniture Rental Solution?</t>
  </si>
  <si>
    <t>Number of Floors</t>
  </si>
  <si>
    <t>1241 College Park Drive</t>
  </si>
  <si>
    <t>Dover, Deleware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</si>
</sst>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#,##0_);\ \(#,##0.00\);_(&quot;--&quot;_);_(@_)"/>
    <numFmt numFmtId="165" formatCode="_(#,##0_);\ \(#,##0\);_(&quot;--&quot;_);_(@_)"/>
    <numFmt numFmtId="166" formatCode="_-* #,##0.0000_-;\-* #,##0.0000_-;_-* &quot;-&quot;??_-;_-@_-"/>
    <numFmt numFmtId="167" formatCode="_(#,##0_);[Red]\(#,##0\);_(&quot;--&quot;_);@"/>
    <numFmt numFmtId="168" formatCode="_(#,##0_);\(#,##0\);_(&quot;--&quot;_);@* "/>
    <numFmt numFmtId="169" formatCode="_(0%_);\(0%\);\ _(\-\-_);\ @"/>
    <numFmt numFmtId="170" formatCode="_(#,##0_);\(#,##0\);_(&quot;--&quot;_);@"/>
    <numFmt numFmtId="171" formatCode="_(#,##0.0_);\(#,##0.0\);_(&quot;--&quot;_);@* "/>
    <numFmt numFmtId="172" formatCode="_(#,##0.0000000_);\(#,##0.0000000\);_(&quot;--&quot;_);@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9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33333"/>
      <name val="Arial"/>
      <family val="2"/>
    </font>
    <font>
      <b/>
      <sz val="7"/>
      <color rgb="FF51515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numFmtId="170" fontId="0" fillId="0" borderId="0">
      <alignment horizontal="center" vertical="center"/>
    </xf>
    <xf numFmtId="164" fontId="2" fillId="0" borderId="0" applyNumberFormat="0" applyFill="0" applyBorder="0" applyProtection="0">
      <alignment horizontal="right" vertical="center"/>
    </xf>
    <xf numFmtId="170" fontId="6" fillId="3" borderId="0" applyBorder="0" applyProtection="0">
      <alignment horizontal="left" vertical="center"/>
    </xf>
    <xf numFmtId="165" fontId="3" fillId="4" borderId="0" applyNumberFormat="0" applyBorder="0" applyProtection="0">
      <alignment horizontal="left" vertical="center"/>
    </xf>
    <xf numFmtId="165" fontId="1" fillId="5" borderId="0" applyNumberFormat="0" applyFont="0" applyAlignment="0">
      <alignment horizontal="center"/>
      <protection locked="0"/>
    </xf>
    <xf numFmtId="0" fontId="7" fillId="0" borderId="0"/>
    <xf numFmtId="170" fontId="7" fillId="0" borderId="0">
      <alignment vertical="center"/>
    </xf>
    <xf numFmtId="0" fontId="7" fillId="0" borderId="0"/>
    <xf numFmtId="170" fontId="10" fillId="0" borderId="0">
      <alignment vertical="center"/>
    </xf>
    <xf numFmtId="170" fontId="14" fillId="0" borderId="0" applyNumberFormat="0" applyFill="0" applyBorder="0" applyAlignment="0" applyProtection="0">
      <alignment horizontal="center" vertical="center"/>
    </xf>
  </cellStyleXfs>
  <cellXfs count="45">
    <xf numFmtId="170" fontId="0" fillId="0" borderId="0" xfId="0">
      <alignment horizontal="center" vertical="center"/>
    </xf>
    <xf numFmtId="170" fontId="0" fillId="0" borderId="0" xfId="0" applyAlignment="1">
      <alignment horizontal="left" vertical="center"/>
    </xf>
    <xf numFmtId="170" fontId="4" fillId="2" borderId="0" xfId="0" applyFont="1" applyFill="1">
      <alignment horizontal="center" vertical="center"/>
    </xf>
    <xf numFmtId="170" fontId="0" fillId="2" borderId="0" xfId="0" applyFill="1">
      <alignment horizontal="center" vertical="center"/>
    </xf>
    <xf numFmtId="170" fontId="4" fillId="2" borderId="0" xfId="0" applyFont="1" applyFill="1" applyAlignment="1">
      <alignment horizontal="center"/>
    </xf>
    <xf numFmtId="170" fontId="5" fillId="2" borderId="1" xfId="0" applyFont="1" applyFill="1" applyBorder="1">
      <alignment horizontal="center" vertical="center"/>
    </xf>
    <xf numFmtId="170" fontId="6" fillId="3" borderId="0" xfId="2">
      <alignment horizontal="left" vertical="center"/>
    </xf>
    <xf numFmtId="170" fontId="3" fillId="4" borderId="0" xfId="3" applyNumberFormat="1" applyAlignment="1">
      <alignment horizontal="centerContinuous" vertical="center"/>
    </xf>
    <xf numFmtId="170" fontId="0" fillId="2" borderId="0" xfId="0" applyFill="1" applyAlignment="1">
      <alignment horizontal="center"/>
    </xf>
    <xf numFmtId="170" fontId="8" fillId="0" borderId="0" xfId="0" applyFont="1" applyAlignment="1">
      <alignment horizontal="left" vertical="center"/>
    </xf>
    <xf numFmtId="170" fontId="6" fillId="3" borderId="1" xfId="2" applyBorder="1" applyAlignment="1">
      <alignment horizontal="center" vertical="center"/>
    </xf>
    <xf numFmtId="170" fontId="6" fillId="3" borderId="1" xfId="2" quotePrefix="1" applyBorder="1" applyAlignment="1">
      <alignment horizontal="center" vertical="center"/>
    </xf>
    <xf numFmtId="170" fontId="0" fillId="0" borderId="1" xfId="0" applyBorder="1">
      <alignment horizontal="center" vertical="center"/>
    </xf>
    <xf numFmtId="170" fontId="0" fillId="2" borderId="1" xfId="0" applyFill="1" applyBorder="1">
      <alignment horizontal="center" vertical="center"/>
    </xf>
    <xf numFmtId="166" fontId="5" fillId="2" borderId="1" xfId="0" applyNumberFormat="1" applyFont="1" applyFill="1" applyBorder="1" applyAlignment="1">
      <alignment vertical="center"/>
    </xf>
    <xf numFmtId="166" fontId="5" fillId="2" borderId="1" xfId="0" applyNumberFormat="1" applyFont="1" applyFill="1" applyBorder="1">
      <alignment horizontal="center" vertical="center"/>
    </xf>
    <xf numFmtId="166" fontId="5" fillId="6" borderId="1" xfId="0" applyNumberFormat="1" applyFont="1" applyFill="1" applyBorder="1">
      <alignment horizontal="center" vertical="center"/>
    </xf>
    <xf numFmtId="170" fontId="10" fillId="0" borderId="0" xfId="0" applyFont="1">
      <alignment horizontal="center" vertical="center"/>
    </xf>
    <xf numFmtId="170" fontId="12" fillId="4" borderId="0" xfId="3" applyNumberFormat="1" applyFont="1">
      <alignment horizontal="left" vertical="center"/>
    </xf>
    <xf numFmtId="168" fontId="12" fillId="4" borderId="0" xfId="3" applyNumberFormat="1" applyFont="1">
      <alignment horizontal="left" vertical="center"/>
    </xf>
    <xf numFmtId="170" fontId="10" fillId="0" borderId="0" xfId="0" applyFont="1" applyAlignment="1">
      <alignment horizontal="left" vertical="center"/>
    </xf>
    <xf numFmtId="170" fontId="10" fillId="0" borderId="0" xfId="4" applyNumberFormat="1" applyFont="1" applyFill="1" applyAlignment="1">
      <alignment horizontal="center" vertical="center"/>
      <protection locked="0"/>
    </xf>
    <xf numFmtId="170" fontId="8" fillId="0" borderId="2" xfId="0" applyFont="1" applyBorder="1" applyAlignment="1">
      <alignment horizontal="left" vertical="center"/>
    </xf>
    <xf numFmtId="170" fontId="10" fillId="0" borderId="2" xfId="0" applyFont="1" applyBorder="1">
      <alignment horizontal="center" vertical="center"/>
    </xf>
    <xf numFmtId="170" fontId="10" fillId="0" borderId="0" xfId="0" applyFont="1" applyAlignment="1">
      <alignment horizontal="left" vertical="center" indent="1"/>
    </xf>
    <xf numFmtId="170" fontId="11" fillId="0" borderId="0" xfId="0" applyFont="1">
      <alignment horizontal="center" vertical="center"/>
    </xf>
    <xf numFmtId="169" fontId="10" fillId="5" borderId="0" xfId="4" applyNumberFormat="1" applyFont="1" applyAlignment="1">
      <alignment horizontal="center" vertical="center"/>
      <protection locked="0"/>
    </xf>
    <xf numFmtId="167" fontId="11" fillId="2" borderId="0" xfId="0" applyNumberFormat="1" applyFont="1" applyFill="1">
      <alignment horizontal="center" vertical="center"/>
    </xf>
    <xf numFmtId="170" fontId="11" fillId="0" borderId="2" xfId="0" applyFont="1" applyBorder="1">
      <alignment horizontal="center" vertical="center"/>
    </xf>
    <xf numFmtId="171" fontId="11" fillId="0" borderId="0" xfId="0" applyNumberFormat="1" applyFont="1">
      <alignment horizontal="center" vertical="center"/>
    </xf>
    <xf numFmtId="168" fontId="10" fillId="5" borderId="0" xfId="4" applyNumberFormat="1" applyFont="1" applyAlignment="1">
      <alignment horizontal="center" vertical="center"/>
      <protection locked="0"/>
    </xf>
    <xf numFmtId="170" fontId="10" fillId="5" borderId="0" xfId="0" applyFont="1" applyFill="1">
      <alignment horizontal="center" vertical="center"/>
    </xf>
    <xf numFmtId="171" fontId="10" fillId="5" borderId="0" xfId="4" applyNumberFormat="1" applyFont="1" applyAlignment="1">
      <alignment horizontal="center" vertical="center"/>
      <protection locked="0"/>
    </xf>
    <xf numFmtId="170" fontId="10" fillId="7" borderId="0" xfId="0" applyFont="1" applyFill="1">
      <alignment horizontal="center" vertical="center"/>
    </xf>
    <xf numFmtId="167" fontId="11" fillId="0" borderId="0" xfId="0" applyNumberFormat="1" applyFont="1">
      <alignment horizontal="center" vertical="center"/>
    </xf>
    <xf numFmtId="169" fontId="10" fillId="0" borderId="0" xfId="4" applyNumberFormat="1" applyFont="1" applyFill="1" applyAlignment="1">
      <alignment horizontal="center" vertical="center"/>
      <protection locked="0"/>
    </xf>
    <xf numFmtId="170" fontId="12" fillId="0" borderId="0" xfId="3" applyNumberFormat="1" applyFont="1" applyFill="1">
      <alignment horizontal="left" vertical="center"/>
    </xf>
    <xf numFmtId="168" fontId="12" fillId="0" borderId="0" xfId="3" applyNumberFormat="1" applyFont="1" applyFill="1">
      <alignment horizontal="left" vertical="center"/>
    </xf>
    <xf numFmtId="168" fontId="5" fillId="5" borderId="0" xfId="3" applyNumberFormat="1" applyFont="1" applyFill="1">
      <alignment horizontal="left" vertical="center"/>
    </xf>
    <xf numFmtId="170" fontId="7" fillId="0" borderId="0" xfId="8" applyFont="1">
      <alignment vertical="center"/>
    </xf>
    <xf numFmtId="170" fontId="13" fillId="0" borderId="3" xfId="6" applyFont="1" applyBorder="1" applyAlignment="1"/>
    <xf numFmtId="170" fontId="7" fillId="0" borderId="0" xfId="6" applyAlignment="1"/>
    <xf numFmtId="170" fontId="14" fillId="0" borderId="0" xfId="9">
      <alignment horizontal="center" vertical="center"/>
    </xf>
    <xf numFmtId="172" fontId="15" fillId="0" borderId="0" xfId="0" applyNumberFormat="1" applyFont="1">
      <alignment horizontal="center" vertical="center"/>
    </xf>
    <xf numFmtId="170" fontId="16" fillId="0" borderId="0" xfId="0" applyFont="1">
      <alignment horizontal="center" vertical="center"/>
    </xf>
  </cellXfs>
  <cellStyles count="10">
    <cellStyle name="ADC_Check" xfId="1" xr:uid="{00000000-0005-0000-0000-000000000000}"/>
    <cellStyle name="ADC_Header1" xfId="2" xr:uid="{00000000-0005-0000-0000-000003000000}"/>
    <cellStyle name="ADC_Header2" xfId="3" xr:uid="{00000000-0005-0000-0000-000004000000}"/>
    <cellStyle name="ADC_Input" xfId="4" xr:uid="{00000000-0005-0000-0000-000006000000}"/>
    <cellStyle name="Hyperlink" xfId="9" builtinId="8"/>
    <cellStyle name="Normal" xfId="0" builtinId="0" customBuiltin="1"/>
    <cellStyle name="Normal 2" xfId="5" xr:uid="{4212498B-CF9A-4D4A-92BF-5E10788898C6}"/>
    <cellStyle name="Normal 3" xfId="7" xr:uid="{1E2BA73B-5A7C-41B8-8A4E-37CFAEE4781B}"/>
    <cellStyle name="Normal 4" xfId="8" xr:uid="{25445E62-CBDB-4C80-AFC1-7000C60BB685}"/>
    <cellStyle name="Normal 6" xfId="6" xr:uid="{2DEEFA6C-577E-4595-92F4-91BD5D523FCB}"/>
  </cellStyles>
  <dxfs count="5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000FF"/>
      <color rgb="FFD6EDBD"/>
      <color rgb="FFE2EFDA"/>
      <color rgb="FF9BE0E3"/>
      <color rgb="FFFFD7CD"/>
      <color rgb="FFD9E1F2"/>
      <color rgb="FFD9F5F2"/>
      <color rgb="FFFCE4D6"/>
      <color rgb="FFFFF2CC"/>
      <color rgb="FFFEEB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34" Type="http://schemas.microsoft.com/office/2006/relationships/vbaProject" Target="vbaProject.bin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customXml" Target="../customXml/item2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8" Type="http://schemas.openxmlformats.org/officeDocument/2006/relationships/externalLink" Target="externalLinks/externalLink6.xml"/></Relationships>
</file>

<file path=xl/ctrlProps/ctrlProp1.xml><?xml version="1.0" encoding="utf-8"?>
<formControlPr xmlns="http://schemas.microsoft.com/office/spreadsheetml/2009/9/main" objectType="Drop" dropLines="5" dropStyle="combo" dx="22" fmlaLink="'Sales Team Input Sheet'!$F$23" fmlaRange="Lists!$T$4:$T$8" noThreeD="1" sel="3" val="0"/>
</file>

<file path=xl/ctrlProps/ctrlProp2.xml><?xml version="1.0" encoding="utf-8"?>
<formControlPr xmlns="http://schemas.microsoft.com/office/spreadsheetml/2009/9/main" objectType="Drop" dropLines="2" dropStyle="combo" dx="22" fmlaLink="Lists!$F$5" fmlaRange="Lists!$F$3:$F$4" noThreeD="1" sel="1" val="0"/>
</file>

<file path=xl/ctrlProps/ctrlProp3.xml><?xml version="1.0" encoding="utf-8"?>
<formControlPr xmlns="http://schemas.microsoft.com/office/spreadsheetml/2009/9/main" objectType="Drop" dropLines="2" dropStyle="combo" dx="22" fmlaLink="Lists!$I$5" fmlaRange="Lists!$I$3:$I$4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424436</xdr:colOff>
      <xdr:row>3</xdr:row>
      <xdr:rowOff>9525</xdr:rowOff>
    </xdr:from>
    <xdr:to>
      <xdr:col>20</xdr:col>
      <xdr:colOff>1289781</xdr:colOff>
      <xdr:row>4</xdr:row>
      <xdr:rowOff>9525</xdr:rowOff>
    </xdr:to>
    <xdr:pic>
      <xdr:nvPicPr>
        <xdr:cNvPr id="6" name="Graphic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44261" y="581025"/>
          <a:ext cx="865345" cy="438150"/>
        </a:xfrm>
        <a:prstGeom prst="rect">
          <a:avLst/>
        </a:prstGeom>
      </xdr:spPr>
    </xdr:pic>
    <xdr:clientData/>
  </xdr:twoCellAnchor>
  <xdr:twoCellAnchor editAs="oneCell">
    <xdr:from>
      <xdr:col>20</xdr:col>
      <xdr:colOff>153835</xdr:colOff>
      <xdr:row>4</xdr:row>
      <xdr:rowOff>114300</xdr:rowOff>
    </xdr:from>
    <xdr:to>
      <xdr:col>20</xdr:col>
      <xdr:colOff>1560382</xdr:colOff>
      <xdr:row>4</xdr:row>
      <xdr:rowOff>354052</xdr:rowOff>
    </xdr:to>
    <xdr:pic>
      <xdr:nvPicPr>
        <xdr:cNvPr id="7" name="Graphic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73660" y="1123950"/>
          <a:ext cx="1406547" cy="239752"/>
        </a:xfrm>
        <a:prstGeom prst="rect">
          <a:avLst/>
        </a:prstGeom>
      </xdr:spPr>
    </xdr:pic>
    <xdr:clientData/>
  </xdr:twoCellAnchor>
  <xdr:twoCellAnchor editAs="oneCell">
    <xdr:from>
      <xdr:col>20</xdr:col>
      <xdr:colOff>590266</xdr:colOff>
      <xdr:row>5</xdr:row>
      <xdr:rowOff>40822</xdr:rowOff>
    </xdr:from>
    <xdr:to>
      <xdr:col>20</xdr:col>
      <xdr:colOff>1123950</xdr:colOff>
      <xdr:row>5</xdr:row>
      <xdr:rowOff>416378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091" y="1488622"/>
          <a:ext cx="533684" cy="375556"/>
        </a:xfrm>
        <a:prstGeom prst="rect">
          <a:avLst/>
        </a:prstGeom>
      </xdr:spPr>
    </xdr:pic>
    <xdr:clientData/>
  </xdr:twoCellAnchor>
  <xdr:twoCellAnchor editAs="oneCell">
    <xdr:from>
      <xdr:col>20</xdr:col>
      <xdr:colOff>170352</xdr:colOff>
      <xdr:row>6</xdr:row>
      <xdr:rowOff>9525</xdr:rowOff>
    </xdr:from>
    <xdr:to>
      <xdr:col>20</xdr:col>
      <xdr:colOff>1543864</xdr:colOff>
      <xdr:row>7</xdr:row>
      <xdr:rowOff>9525</xdr:rowOff>
    </xdr:to>
    <xdr:pic>
      <xdr:nvPicPr>
        <xdr:cNvPr id="9" name="Picture 8" descr="Shape&#10;&#10;Description automatically generated with medium confidenc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90177" y="1895475"/>
          <a:ext cx="1373512" cy="438150"/>
        </a:xfrm>
        <a:prstGeom prst="rect">
          <a:avLst/>
        </a:prstGeom>
      </xdr:spPr>
    </xdr:pic>
    <xdr:clientData/>
  </xdr:twoCellAnchor>
  <xdr:twoCellAnchor editAs="oneCell">
    <xdr:from>
      <xdr:col>20</xdr:col>
      <xdr:colOff>220651</xdr:colOff>
      <xdr:row>7</xdr:row>
      <xdr:rowOff>76200</xdr:rowOff>
    </xdr:from>
    <xdr:to>
      <xdr:col>20</xdr:col>
      <xdr:colOff>1493565</xdr:colOff>
      <xdr:row>7</xdr:row>
      <xdr:rowOff>379512</xdr:rowOff>
    </xdr:to>
    <xdr:pic>
      <xdr:nvPicPr>
        <xdr:cNvPr id="12" name="Picture 11" descr="Image result for iwg log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440476" y="2400300"/>
          <a:ext cx="1272914" cy="303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2057400</xdr:colOff>
          <xdr:row>23</xdr:row>
          <xdr:rowOff>38100</xdr:rowOff>
        </xdr:to>
        <xdr:sp macro="" textlink="">
          <xdr:nvSpPr>
            <xdr:cNvPr id="29708" name="Drop Dow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1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301942</xdr:colOff>
          <xdr:row>21</xdr:row>
          <xdr:rowOff>0</xdr:rowOff>
        </xdr:from>
        <xdr:to>
          <xdr:col>4</xdr:col>
          <xdr:colOff>11112</xdr:colOff>
          <xdr:row>23</xdr:row>
          <xdr:rowOff>117159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rand" spid="_x0000_s1306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052286" y="833438"/>
              <a:ext cx="1752600" cy="45624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2057400</xdr:colOff>
          <xdr:row>21</xdr:row>
          <xdr:rowOff>38100</xdr:rowOff>
        </xdr:to>
        <xdr:sp macro="" textlink="">
          <xdr:nvSpPr>
            <xdr:cNvPr id="30258" name="Drop Down 562" hidden="1">
              <a:extLst>
                <a:ext uri="{63B3BB69-23CF-44E3-9099-C40C66FF867C}">
                  <a14:compatExt spid="_x0000_s30258"/>
                </a:ext>
                <a:ext uri="{FF2B5EF4-FFF2-40B4-BE49-F238E27FC236}">
                  <a16:creationId xmlns:a16="http://schemas.microsoft.com/office/drawing/2014/main" id="{00000000-0008-0000-0100-0000327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29</xdr:row>
          <xdr:rowOff>152400</xdr:rowOff>
        </xdr:from>
        <xdr:to>
          <xdr:col>5</xdr:col>
          <xdr:colOff>2082800</xdr:colOff>
          <xdr:row>31</xdr:row>
          <xdr:rowOff>25400</xdr:rowOff>
        </xdr:to>
        <xdr:sp macro="" textlink="">
          <xdr:nvSpPr>
            <xdr:cNvPr id="130120" name="Drop Down 1096" hidden="1">
              <a:extLst>
                <a:ext uri="{63B3BB69-23CF-44E3-9099-C40C66FF867C}">
                  <a14:compatExt spid="_x0000_s130120"/>
                </a:ext>
                <a:ext uri="{FF2B5EF4-FFF2-40B4-BE49-F238E27FC236}">
                  <a16:creationId xmlns:a16="http://schemas.microsoft.com/office/drawing/2014/main" id="{00000000-0008-0000-0100-000048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https://regusgroupservices.sharepoint.com/Documents%20and%20Settings/efmsrj/Local%20Settings/Temporary%20Internet%20Files/Content.Outlook/ULQJMN8A/TEC_Finance/INTERCOMPANY%20AND%20OTHER/FY2008/FY2008-ACCOUNT%20ANALYSIS/08-12100%20(MISC%20ACCTS%20RECEIVABLE).XLS?6E6546F6" TargetMode="External"/><Relationship Id="rId1" Type="http://schemas.openxmlformats.org/officeDocument/2006/relationships/externalLinkPath" Target="file:///\\6E6546F6\08-12100%20(MISC%20ACCTS%20RECEIVABLE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FINANCE\Financial_Analysis\BUDGET\FY2006\Allocations\Facility%20Fee\Fac%20Fee%20Consolidated08_16_05%20FINA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er/finanzen/Dokumente%20und%20Einstellungen/kienappel.OFFICEF/Lokale%20Einstellungen/Temporary%20Internet%20Files/OLK98/Budget%20Arena%20Project%20DRAFT%20ho%2031703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OME\DOC\Ginsburg\04%20Templates\Property%20Survey%20&amp;%20Tour\Sample%20Market%20Survey-New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Y%2001%20Batch%20Entry%20by%20Location%20v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er/Finanzen/Documents%20and%20Settings/michael/My%20Documents/01%20Project%20Control/04%20Budget%20&amp;%20Cost%20Control/Infrastructure/Land%20Budget%20(v3)_030128_mk&#246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Berlin1/Infra/Documents%20and%20Settings/michael/Local%20Settings/Temporary%20Internet%20Files/OLK4/Budget%20&amp;%20Cash%20Flow%20Land%20Project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.sharepoint.com/Users/n944444/AppData/Local/Microsoft/Windows/Temporary%20Internet%20Files/Content.Outlook/8OSX0MP1/Volume%20Projections%20Model%20-%20CARDIOLOGY%20EDITION%208%2022%2014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hared\Production\Tools%20%20Models\Amortization%20Templat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.sharepoint.com/Documents%20and%20Settings/Ecngta/Local%20Settings/Temp/2007%2006%20DEPRECIATI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.sharepoint.com/Documents%20and%20Settings/efmsrj/Local%20Settings/Temporary%20Internet%20Files/Content.Outlook/ULQJMN8A/TEC_Finance/THERESA/FY2005/LIZ/FY05SectionAllocation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IMSHARE\Vendor%201-5-07\Feb07\FEBRUARY%20NUCLEAR%20LIST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inexfile/docs/Documents%20and%20Settings/jjbail/Desktop/GSH%20FY07%20Vol%20Template%204%207%2006_HSO%20Submissio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Berlin/9200_9229/9219_Berlin%20National%20Arena/04_Kosten/Budget%20&amp;%20Cash%20Flow/Package%20Aug%2009,%202002/Land%20Budget%20_09.08.02_DRAFT_a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.sharepoint.com/shares/Finance/documents/TEC_Finance/TEC%20STAFF/NICOLE/37.6M%20NEW%20DEBT/PCS%20BREAKOUT%20SUMMARY_37.64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Startup" Target="FINANCE/RYAN/FY2002-(DATABASE%20ANALYSIS)/FY02-REQUISITION%20TABLESA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ctivity%20History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.sharepoint.com/Users/rbertram/Desktop/Projects/15%20Emory/02%20Financial%20Plan/Roll-up%20Exampl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.sharepoint.com/users/n944444/home/Facilities%20Management/Building%20A%20Rennovations/Clinic%20A%20Renovation%20Room%20Summary%20082914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.sharepoint.com/Shares/StrategicPlanning/data/STRATPLN/WHSC%20Program%20and%20Facility%20Planning/TEC/KSA%20Data%20Request,%20Projections%20and%20Presenations/Emory%20Clifton%20Space%20Table%20MASTER10-22%20MM%20-%20JAY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hc\CTSurg\SUCA_FY05%20Budget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.sharepoint.com/shares/StrategicPlanning/data/STRATPLN/6%20SPOT/Proj%20Mgmt/Tools/WorkPlan%20and%20Activity%20Lists/Auto-Workplan%20Generator%20v.%202.0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.sharepoint.com/SHARED/IM_ADMIN/Vendors/Vendor%20FY2006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egusgroupservices-my.sharepoint.com/Regus/2013/HFM/recon/Planning%20Data%20Validation%20Maturity_2015%20Ap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G07_FINAL"/>
      <sheetName val="SEP07"/>
      <sheetName val="OCT07"/>
      <sheetName val="NOV07"/>
      <sheetName val="DEC07"/>
      <sheetName val="JAN08"/>
      <sheetName val="MAR08"/>
      <sheetName val="APR08"/>
      <sheetName val="may08"/>
      <sheetName val="JUNE08"/>
      <sheetName val="July08"/>
      <sheetName val="Aug08"/>
      <sheetName val="Aug08(2)"/>
      <sheetName val="Aug08(3)"/>
      <sheetName val="AUG08LAST"/>
      <sheetName val="LOOKU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Y06 Projections"/>
      <sheetName val="Summary"/>
      <sheetName val="TEC Consolidated"/>
      <sheetName val="TEC Overall JE "/>
      <sheetName val="FAC FEE COMPARISON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ndardwerte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perties"/>
      <sheetName val="Data"/>
      <sheetName val="Itinerary"/>
      <sheetName val="Summary"/>
      <sheetName val="Map"/>
      <sheetName val="5505"/>
      <sheetName val="5505 (2)"/>
      <sheetName val="4025f"/>
      <sheetName val="9150"/>
      <sheetName val="TOC"/>
      <sheetName val="Groups"/>
      <sheetName val="Overview"/>
      <sheetName val="Data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ctionary"/>
      <sheetName val="ENTRY-SUMMARY"/>
      <sheetName val="Payments"/>
      <sheetName val="Contract Adj."/>
      <sheetName val="Refunds"/>
      <sheetName val="Paymentraw"/>
      <sheetName val="Division Summary"/>
      <sheetName val="Paymentraw (2)"/>
      <sheetName val="Contractraw"/>
      <sheetName val="Contractraw (2)"/>
      <sheetName val="Refundraw"/>
      <sheetName val="Refundraw (2)"/>
      <sheetName val="Division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ndardwerte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ndardwerte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Volume Projections"/>
      <sheetName val="Report"/>
      <sheetName val="Staffing Projections"/>
      <sheetName val="Notes"/>
      <sheetName val="Data"/>
      <sheetName val="Style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 Amortization Schedule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AST998.FAFEB07;1"/>
      <sheetName val="IAST998.FAFEB07;1 (2)"/>
      <sheetName val="Sheet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AL"/>
      <sheetName val="ANAL"/>
      <sheetName val="ANAL (2)"/>
      <sheetName val="CPAD"/>
      <sheetName val="GYAL"/>
      <sheetName val="IMAD"/>
      <sheetName val="IPAD HSAD"/>
      <sheetName val="IMFA"/>
      <sheetName val="NENEAD"/>
      <sheetName val="RA RS"/>
      <sheetName val="SUAD"/>
      <sheetName val="SUUR"/>
      <sheetName val="uploa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List"/>
    </sheetNames>
    <sheetDataSet>
      <sheetData sheetId="0"/>
      <sheetData sheetId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-Medical Staff Plan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ndardwerte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"/>
      <sheetName val="1525 DERM"/>
      <sheetName val="1525 IM CONSOL"/>
      <sheetName val="MOT ENT RELOC"/>
      <sheetName val="MOT OPH GYN"/>
      <sheetName val="MOT NEUR EXP"/>
      <sheetName val="MOT (St. Joe) Urology"/>
      <sheetName val="MOT 6TH 7TH RENO"/>
      <sheetName val="CLIN B OPH "/>
      <sheetName val="CLIN B NEURO"/>
      <sheetName val="CLIN B ORAL SURG"/>
      <sheetName val="CLIN B PSYC"/>
      <sheetName val="CLIN B TRANS"/>
      <sheetName val="CLIN A ACCESS"/>
      <sheetName val="CLIN A INFRAS"/>
      <sheetName val="Clinic A Clinical"/>
      <sheetName val="CLINIC C"/>
      <sheetName val="WCI MID WCI"/>
      <sheetName val="WCI MID GLENN"/>
      <sheetName val="EP NEURO"/>
      <sheetName val="EP RENOV"/>
      <sheetName val="DP"/>
      <sheetName val="PERIM OPHT"/>
      <sheetName val="PERIM COSMETIC"/>
      <sheetName val="BREAKOUT"/>
      <sheetName val="Extra Costs"/>
      <sheetName val="Sheet1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"/>
      <sheetName val="ANALYSIS"/>
      <sheetName val="REQ TABLE"/>
      <sheetName val="REQ #3"/>
      <sheetName val="A"/>
      <sheetName val="C"/>
      <sheetName val="REQ #2"/>
      <sheetName val="ECN X-FERS"/>
      <sheetName val="CP X-FER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atient Volumes"/>
      <sheetName val="St. Rita's by Floor"/>
      <sheetName val="BEDS by Unit"/>
      <sheetName val="BEDS by Service"/>
      <sheetName val="Inpatient Vol"/>
      <sheetName val="D&amp;Ts"/>
      <sheetName val="REVPAYOR"/>
      <sheetName val="Existing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 Panel"/>
      <sheetName val="Analogs - Qualitative Factors"/>
      <sheetName val="Analogs - Quantitative Factors"/>
      <sheetName val="Analogs Analyzed "/>
      <sheetName val="Analogs - Quanlitative Summary"/>
      <sheetName val="Analogs - Quantitative Summary"/>
      <sheetName val="Analogs Discussion Rationale"/>
      <sheetName val="Analog LinkedIn"/>
      <sheetName val="Analog Angie's List"/>
      <sheetName val="Analog Twitter"/>
      <sheetName val="Analog Bazaarvoice "/>
      <sheetName val="Analog Comscore"/>
      <sheetName val="Analog WebMD"/>
      <sheetName val="Analog Aggregation"/>
      <sheetName val="Investment"/>
      <sheetName val="Bottoms-up Cost Plan"/>
      <sheetName val="Assumptions"/>
      <sheetName val="Unit Model"/>
      <sheetName val="Monthly Projections"/>
      <sheetName val="Rollout"/>
      <sheetName val="Rollup"/>
      <sheetName val="Sensitivity Analysis"/>
      <sheetName val="Comps"/>
      <sheetName val="Valuations"/>
      <sheetName val="CapTable"/>
      <sheetName val="Table Of Returns"/>
      <sheetName val="Returns Matrix"/>
      <sheetName val="Strategic priorities &amp; goal "/>
      <sheetName val="Dashboard"/>
      <sheetName val="UM"/>
      <sheetName val="Gantt"/>
      <sheetName val="Reference -&gt;"/>
      <sheetName val="AMA membership physician counts"/>
      <sheetName val="AMA Specialty and demographics "/>
      <sheetName val="KFF active physician totals"/>
      <sheetName val="KFF primary care breakdown"/>
      <sheetName val="KFF specialty breakdown"/>
      <sheetName val="TCV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Exam Rooms 2014 Test"/>
      <sheetName val="Exam Rooms 2014 Update"/>
      <sheetName val="June 2014"/>
      <sheetName val="IM spec update 8_2014"/>
      <sheetName val="Exam Rooms (2)"/>
      <sheetName val="Exam Rooms"/>
      <sheetName val="Arrived Encounters"/>
      <sheetName val="Avg Pt Per Day 13 Month Roll-Up"/>
      <sheetName val="Rooming"/>
      <sheetName val="FY'14 Room Turns"/>
      <sheetName val="Cardiology"/>
      <sheetName val="CT Encounter Volume"/>
      <sheetName val="General Surgery"/>
      <sheetName val="Vascular Encounter Volume"/>
      <sheetName val="General Surgery Volume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/>
      <sheetData sheetId="8"/>
      <sheetData sheetId="9" refreshError="1"/>
      <sheetData sheetId="10"/>
      <sheetData sheetId="11"/>
      <sheetData sheetId="12"/>
      <sheetData sheetId="13" refreshError="1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ie Chart -New"/>
      <sheetName val="Stacking"/>
      <sheetName val="Summary"/>
      <sheetName val="Admin Off"/>
      <sheetName val="Bldg Svcs"/>
      <sheetName val="Clinical Lab"/>
      <sheetName val="Clinic Res"/>
      <sheetName val="Derm"/>
      <sheetName val="Derm Office"/>
      <sheetName val="Edu-Conf"/>
      <sheetName val="Heart Center"/>
      <sheetName val="Heart Office"/>
      <sheetName val="Heart-Cardiodx"/>
      <sheetName val="Vascular"/>
      <sheetName val="Vascular Office"/>
      <sheetName val="Imaging - Clinic"/>
      <sheetName val="Imaging - WCI"/>
      <sheetName val="Imaging - Breast"/>
      <sheetName val="Imaging Off"/>
      <sheetName val="Interventional"/>
      <sheetName val="Matls Mgmt"/>
      <sheetName val="Med Spec"/>
      <sheetName val="MedSpc Infusion"/>
      <sheetName val="Med Off"/>
      <sheetName val="Neurosciences"/>
      <sheetName val="Neuro Office"/>
      <sheetName val="Psych Office"/>
      <sheetName val="Psych-Adult"/>
      <sheetName val="Psych - C &amp; A"/>
      <sheetName val="PatAcc"/>
      <sheetName val="Pub Space"/>
      <sheetName val="Peri-Procedural"/>
      <sheetName val="PAT &amp; Diagnostic Ctr"/>
      <sheetName val="Pharm"/>
      <sheetName val="Primary"/>
      <sheetName val="Primary Office"/>
      <sheetName val="Executive Health"/>
      <sheetName val="Anti-coag."/>
      <sheetName val="Resp"/>
      <sheetName val="Resp PFT"/>
      <sheetName val="RespOff"/>
      <sheetName val="SPD"/>
      <sheetName val="Surg Spec"/>
      <sheetName val="SurgSpecOff"/>
      <sheetName val="Transplt"/>
      <sheetName val="Trans-Off"/>
      <sheetName val="Weight Mngmt"/>
      <sheetName val="Wom"/>
      <sheetName val="Wom Off "/>
      <sheetName val="Standards_1"/>
      <sheetName val="Dialysis-Placeholder"/>
      <sheetName val="Grossing Facto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DA-DATA"/>
      <sheetName val="Data Validation Tables"/>
      <sheetName val="Instructions"/>
      <sheetName val="BUDGET_SUMMARY"/>
      <sheetName val="SUBACCOUNTS"/>
      <sheetName val="NON PHY PAYROLL"/>
      <sheetName val="NON PHY PAYROLL-OTHER"/>
      <sheetName val="PHY SALARIES"/>
      <sheetName val="PHY PAYROLL"/>
      <sheetName val="CHARGE_PROJECTION"/>
      <sheetName val="MED DIR REV &amp; OTHER"/>
      <sheetName val="CAPITAL-REQUEST"/>
      <sheetName val="CAPITAL-INT&amp;DEPR"/>
      <sheetName val="ADMIN-ALLOC"/>
      <sheetName val="CODA Total"/>
      <sheetName val="CODA Summary"/>
      <sheetName val="SUCAADRECC"/>
      <sheetName val="SUCAPECEGL"/>
      <sheetName val="SUCATHCTEC"/>
      <sheetName val="SUCACACKHI"/>
      <sheetName val="SUCACACEUH"/>
      <sheetName val="SUCACACCLH"/>
      <sheetName val="SUCATRCEUH"/>
      <sheetName val="Budget_8"/>
      <sheetName val="Budget_9"/>
      <sheetName val="Budget_10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 ME FIRST"/>
      <sheetName val="HIGH-LEVEL"/>
      <sheetName val="GRANULAR"/>
      <sheetName val="GROUPED vers. 1"/>
      <sheetName val="GROUPED vers. 2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 Aging"/>
      <sheetName val="Vendor List"/>
      <sheetName val="Sheet1"/>
      <sheetName val="Data Entry"/>
      <sheetName val="Invoice"/>
      <sheetName val="Letter"/>
      <sheetName val="Summary"/>
      <sheetName val="Password"/>
      <sheetName val="Past Due Invoic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 Maturity"/>
      <sheetName val="HFM Gross closed"/>
      <sheetName val="HFM Net closed"/>
      <sheetName val="Planning"/>
      <sheetName val="Stationery"/>
      <sheetName val="91F42209A07C460EAE0621E596A76FD"/>
      <sheetName val="Courier"/>
      <sheetName val="CC842B2160C44319B686032DCDF8528"/>
      <sheetName val="Planning (4)"/>
      <sheetName val="Data Sheet"/>
      <sheetName val="Planning (5)"/>
      <sheetName val="7C459C977E1D46CAA5E9F2088BB3A8F"/>
      <sheetName val="Planning (2)"/>
      <sheetName val="Planning (3)"/>
      <sheetName val="Planning (6)"/>
      <sheetName val="Planning (7)"/>
      <sheetName val="C741A3F85451412BB169109873A288E"/>
      <sheetName val="FB81A8EF597D4A24896F62DAACE776F"/>
      <sheetName val="29AE6B97A4BB475ABEA54E59B5F163B"/>
      <sheetName val="HFM"/>
      <sheetName val="Income_Statement_Maturity"/>
      <sheetName val="HFM_Gross_closed"/>
      <sheetName val="HFM_Net_closed"/>
      <sheetName val="Planning_(4)"/>
      <sheetName val="Data_Sheet"/>
      <sheetName val="Planning_(5)"/>
      <sheetName val="Planning_(2)"/>
      <sheetName val="Planning_(3)"/>
      <sheetName val="Planning_(6)"/>
      <sheetName val="Planning_(7)"/>
      <sheetName val="Income_Statement_Maturity1"/>
      <sheetName val="HFM_Gross_closed1"/>
      <sheetName val="HFM_Net_closed1"/>
      <sheetName val="Planning_(4)1"/>
      <sheetName val="Data_Sheet1"/>
      <sheetName val="Planning_(5)1"/>
      <sheetName val="Planning_(2)1"/>
      <sheetName val="Planning_(3)1"/>
      <sheetName val="Planning_(6)1"/>
      <sheetName val="Planning_(7)1"/>
      <sheetName val="Currency List"/>
      <sheetName val="Income_Statement_Maturity2"/>
      <sheetName val="HFM_Gross_closed2"/>
      <sheetName val="HFM_Net_closed2"/>
      <sheetName val="Planning_(4)2"/>
      <sheetName val="Data_Sheet2"/>
      <sheetName val="Planning_(5)2"/>
      <sheetName val="Planning_(2)2"/>
      <sheetName val="Planning_(3)2"/>
      <sheetName val="Planning_(6)2"/>
      <sheetName val="Planning_(7)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Theme">
  <a:themeElements>
    <a:clrScheme name="IWG 2021 Marketing">
      <a:dk1>
        <a:sysClr val="windowText" lastClr="000000"/>
      </a:dk1>
      <a:lt1>
        <a:sysClr val="window" lastClr="FFFFFF"/>
      </a:lt1>
      <a:dk2>
        <a:srgbClr val="1A1F1C"/>
      </a:dk2>
      <a:lt2>
        <a:srgbClr val="FFFFFF"/>
      </a:lt2>
      <a:accent1>
        <a:srgbClr val="05ABBD"/>
      </a:accent1>
      <a:accent2>
        <a:srgbClr val="BFEBED"/>
      </a:accent2>
      <a:accent3>
        <a:srgbClr val="E5F5F7"/>
      </a:accent3>
      <a:accent4>
        <a:srgbClr val="E0E1E3"/>
      </a:accent4>
      <a:accent5>
        <a:srgbClr val="C7C8CA"/>
      </a:accent5>
      <a:accent6>
        <a:srgbClr val="5D7975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gps-coordinates.net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1CE3-3BDA-4B64-8EB7-D6262ADDE4C2}">
  <sheetPr codeName="Sheet10">
    <tabColor theme="9"/>
    <pageSetUpPr fitToPage="1"/>
  </sheetPr>
  <dimension ref="B2:W136"/>
  <sheetViews>
    <sheetView showGridLines="0" topLeftCell="M6" zoomScaleNormal="100" workbookViewId="0">
      <selection activeCell="T12" sqref="T12:T18"/>
    </sheetView>
  </sheetViews>
  <sheetFormatPr defaultColWidth="9.1796875" defaultRowHeight="14.5" x14ac:dyDescent="0.35"/>
  <cols>
    <col min="1" max="1" width="9.1796875" style="3"/>
    <col min="2" max="2" width="15.6328125" style="3" customWidth="1"/>
    <col min="3" max="3" width="15.6328125" style="8" customWidth="1"/>
    <col min="4" max="4" width="15.6328125" style="3" customWidth="1"/>
    <col min="5" max="5" width="19.1796875" style="3" bestFit="1" customWidth="1"/>
    <col min="6" max="13" width="15.6328125" style="3" customWidth="1"/>
    <col min="14" max="16" width="20.36328125" style="3" bestFit="1" customWidth="1"/>
    <col min="17" max="17" width="5.6328125" style="3" customWidth="1"/>
    <col min="18" max="18" width="19.1796875" style="3" bestFit="1" customWidth="1"/>
    <col min="19" max="19" width="5.6328125" style="3" customWidth="1"/>
    <col min="20" max="20" width="21.453125" style="3" bestFit="1" customWidth="1"/>
    <col min="21" max="21" width="26.36328125" style="3" customWidth="1"/>
    <col min="22" max="22" width="9.1796875" style="3"/>
    <col min="23" max="23" width="2.6328125" style="3" customWidth="1"/>
    <col min="24" max="24" width="6" style="3" customWidth="1"/>
    <col min="25" max="25" width="9.1796875" style="3"/>
    <col min="26" max="26" width="2.6328125" style="3" customWidth="1"/>
    <col min="27" max="27" width="12" style="3" customWidth="1"/>
    <col min="28" max="28" width="5.453125" style="3" customWidth="1"/>
    <col min="29" max="16384" width="9.1796875" style="3"/>
  </cols>
  <sheetData>
    <row r="2" spans="2:23" ht="21" x14ac:dyDescent="0.35">
      <c r="T2" s="6" t="s">
        <v>0</v>
      </c>
      <c r="U2" s="6"/>
    </row>
    <row r="3" spans="2:23" ht="21" x14ac:dyDescent="0.35">
      <c r="B3" s="10" t="s">
        <v>1</v>
      </c>
      <c r="C3" s="11" t="s">
        <v>2</v>
      </c>
      <c r="D3" s="10" t="s">
        <v>3</v>
      </c>
      <c r="F3" s="1" t="s">
        <v>4</v>
      </c>
      <c r="I3" s="3" t="s">
        <v>5</v>
      </c>
      <c r="Q3"/>
      <c r="S3"/>
      <c r="T3"/>
      <c r="U3"/>
      <c r="V3"/>
      <c r="W3"/>
    </row>
    <row r="4" spans="2:23" ht="35" customHeight="1" x14ac:dyDescent="0.35">
      <c r="B4" s="5" t="s">
        <v>6</v>
      </c>
      <c r="C4" s="14">
        <f>IFERROR(INDEX($C$13:$C$124,MATCH($B4,$B$13:$B$124,0)),0)</f>
        <v>1.3514000000000002</v>
      </c>
      <c r="D4" s="5" t="s">
        <v>7</v>
      </c>
      <c r="F4" s="1" t="s">
        <v>8</v>
      </c>
      <c r="I4" s="3" t="s">
        <v>9</v>
      </c>
      <c r="Q4"/>
      <c r="S4"/>
      <c r="T4" s="1" t="s">
        <v>10</v>
      </c>
      <c r="U4"/>
      <c r="V4"/>
      <c r="W4"/>
    </row>
    <row r="5" spans="2:23" ht="35" customHeight="1" x14ac:dyDescent="0.35">
      <c r="B5" s="5" t="s">
        <v>11</v>
      </c>
      <c r="C5" s="14">
        <f>IFERROR(INDEX($C$13:$C$124,MATCH($B5,$B$13:$B$124,0)),0)</f>
        <v>1</v>
      </c>
      <c r="D5" s="5" t="e">
        <f>IF(INDEX(Lists!$N$13:$N$136,MATCH(#REF!,Lists!$E$13:$E$136,0))="","No Translation Available",INDEX(Lists!$N$13:$N$136,MATCH(#REF!,Lists!$E$13:$E$136,0)))</f>
        <v>#REF!</v>
      </c>
      <c r="F5" s="3">
        <v>1</v>
      </c>
      <c r="I5" s="3">
        <v>2</v>
      </c>
      <c r="Q5"/>
      <c r="S5"/>
      <c r="T5" s="1" t="s">
        <v>12</v>
      </c>
      <c r="U5"/>
      <c r="V5"/>
      <c r="W5"/>
    </row>
    <row r="6" spans="2:23" ht="35" customHeight="1" x14ac:dyDescent="0.35">
      <c r="B6" s="5" t="s">
        <v>13</v>
      </c>
      <c r="C6" s="14">
        <f t="shared" ref="C6:C9" si="0">IFERROR(INDEX($C$13:$C$124,MATCH($B6,$B$13:$B$124,0)),0)</f>
        <v>1.1912</v>
      </c>
      <c r="D6" s="5" t="e">
        <f>IF(INDEX(Lists!$O$13:$O$136,MATCH(#REF!,Lists!$E$13:$E$136,0))="","No Additional Languages",INDEX(Lists!$O$13:$O$136,MATCH(#REF!,Lists!$E$13:$E$136,0)))</f>
        <v>#REF!</v>
      </c>
      <c r="Q6"/>
      <c r="S6"/>
      <c r="T6" s="1" t="s">
        <v>14</v>
      </c>
      <c r="U6"/>
      <c r="V6"/>
      <c r="W6"/>
    </row>
    <row r="7" spans="2:23" ht="35" customHeight="1" x14ac:dyDescent="0.35">
      <c r="B7" s="5" t="e">
        <f>INDEX(Lists!$K$13:$K$136,MATCH(#REF!,Lists!$E$13:$E$136,0))</f>
        <v>#REF!</v>
      </c>
      <c r="C7" s="14">
        <f t="shared" si="0"/>
        <v>0</v>
      </c>
      <c r="D7" s="5" t="e">
        <f>IF(INDEX(Lists!$P$13:$P$136,MATCH(#REF!,Lists!$E$13:$E$136,0))="","No Additional Languages",INDEX(Lists!$P$13:$P$136,MATCH(#REF!,Lists!$E$13:$E$136,0)))</f>
        <v>#REF!</v>
      </c>
      <c r="Q7"/>
      <c r="S7"/>
      <c r="T7" s="1" t="s">
        <v>15</v>
      </c>
      <c r="U7"/>
      <c r="V7"/>
      <c r="W7"/>
    </row>
    <row r="8" spans="2:23" ht="35" customHeight="1" x14ac:dyDescent="0.35">
      <c r="B8" s="5" t="e">
        <f>INDEX(Lists!$L$13:$L$136,MATCH(#REF!,Lists!$E$13:$E$136,0))</f>
        <v>#REF!</v>
      </c>
      <c r="C8" s="14">
        <f t="shared" si="0"/>
        <v>0</v>
      </c>
      <c r="Q8"/>
      <c r="S8"/>
      <c r="T8" s="1" t="s">
        <v>16</v>
      </c>
      <c r="U8"/>
      <c r="V8"/>
      <c r="W8"/>
    </row>
    <row r="9" spans="2:23" ht="35" customHeight="1" x14ac:dyDescent="0.35">
      <c r="B9" s="5" t="e">
        <f>INDEX(Lists!$M$13:$M$136,MATCH(#REF!,Lists!$E$13:$E$136,0))</f>
        <v>#REF!</v>
      </c>
      <c r="C9" s="14">
        <f t="shared" si="0"/>
        <v>0</v>
      </c>
      <c r="Q9"/>
      <c r="S9"/>
      <c r="T9" s="1"/>
      <c r="U9"/>
      <c r="V9"/>
      <c r="W9"/>
    </row>
    <row r="10" spans="2:23" x14ac:dyDescent="0.35">
      <c r="Q10"/>
      <c r="S10"/>
      <c r="T10"/>
      <c r="U10"/>
      <c r="V10"/>
      <c r="W10"/>
    </row>
    <row r="11" spans="2:23" x14ac:dyDescent="0.35">
      <c r="E11" s="7" t="s">
        <v>17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/>
      <c r="S11"/>
      <c r="T11"/>
      <c r="U11"/>
      <c r="V11"/>
      <c r="W11"/>
    </row>
    <row r="12" spans="2:23" ht="15.5" x14ac:dyDescent="0.35">
      <c r="B12" s="2"/>
      <c r="C12" s="4"/>
      <c r="Q12"/>
      <c r="S12"/>
      <c r="T12" s="40" t="s">
        <v>18</v>
      </c>
      <c r="U12"/>
      <c r="V12"/>
      <c r="W12"/>
    </row>
    <row r="13" spans="2:23" ht="21" x14ac:dyDescent="0.35">
      <c r="B13" s="10" t="s">
        <v>1</v>
      </c>
      <c r="C13" s="11" t="s">
        <v>2</v>
      </c>
      <c r="E13" s="10" t="s">
        <v>19</v>
      </c>
      <c r="F13" s="10" t="s">
        <v>10</v>
      </c>
      <c r="G13" s="10" t="s">
        <v>12</v>
      </c>
      <c r="H13" s="10" t="s">
        <v>14</v>
      </c>
      <c r="I13" s="10" t="s">
        <v>15</v>
      </c>
      <c r="J13" s="10" t="s">
        <v>16</v>
      </c>
      <c r="K13" s="10" t="s">
        <v>20</v>
      </c>
      <c r="L13" s="10" t="s">
        <v>21</v>
      </c>
      <c r="M13" s="10" t="s">
        <v>22</v>
      </c>
      <c r="N13" s="10" t="s">
        <v>23</v>
      </c>
      <c r="O13" s="10" t="s">
        <v>24</v>
      </c>
      <c r="P13" s="10" t="s">
        <v>25</v>
      </c>
      <c r="R13" s="10" t="s">
        <v>26</v>
      </c>
      <c r="T13" s="41" t="s">
        <v>27</v>
      </c>
    </row>
    <row r="14" spans="2:23" x14ac:dyDescent="0.35">
      <c r="B14" s="5" t="s">
        <v>28</v>
      </c>
      <c r="C14" s="15">
        <v>4.9632000000000005</v>
      </c>
      <c r="E14" s="12" t="s">
        <v>29</v>
      </c>
      <c r="F14" s="12">
        <v>320</v>
      </c>
      <c r="G14" s="12">
        <v>370</v>
      </c>
      <c r="H14" s="12">
        <v>275</v>
      </c>
      <c r="I14" s="12">
        <v>370</v>
      </c>
      <c r="J14" s="12">
        <f>F14</f>
        <v>320</v>
      </c>
      <c r="K14" s="12" t="s">
        <v>30</v>
      </c>
      <c r="L14" s="12"/>
      <c r="M14" s="12"/>
      <c r="N14" s="12" t="s">
        <v>31</v>
      </c>
      <c r="O14" s="12" t="s">
        <v>32</v>
      </c>
      <c r="P14" s="12"/>
      <c r="R14" s="12" t="s">
        <v>33</v>
      </c>
      <c r="T14" s="41" t="s">
        <v>34</v>
      </c>
    </row>
    <row r="15" spans="2:23" x14ac:dyDescent="0.35">
      <c r="B15" s="5" t="s">
        <v>35</v>
      </c>
      <c r="C15" s="16">
        <v>139.8699</v>
      </c>
      <c r="E15" s="12" t="s">
        <v>36</v>
      </c>
      <c r="F15" s="12">
        <v>352.20238095238096</v>
      </c>
      <c r="G15" s="12">
        <v>421.90476190476193</v>
      </c>
      <c r="H15" s="12">
        <v>312.20238095238096</v>
      </c>
      <c r="I15" s="12">
        <v>421.90476190476193</v>
      </c>
      <c r="J15" s="12">
        <f t="shared" ref="J15:J78" si="1">F15</f>
        <v>352.20238095238096</v>
      </c>
      <c r="K15" s="12" t="s">
        <v>37</v>
      </c>
      <c r="L15" s="12"/>
      <c r="M15" s="12"/>
      <c r="N15" s="12"/>
      <c r="O15" s="12"/>
      <c r="P15" s="12"/>
      <c r="R15" s="12" t="s">
        <v>38</v>
      </c>
      <c r="T15" s="41" t="s">
        <v>39</v>
      </c>
    </row>
    <row r="16" spans="2:23" x14ac:dyDescent="0.35">
      <c r="B16" s="5" t="s">
        <v>40</v>
      </c>
      <c r="C16" s="15">
        <v>143.53220000000002</v>
      </c>
      <c r="E16" s="12" t="s">
        <v>41</v>
      </c>
      <c r="F16" s="12">
        <v>275</v>
      </c>
      <c r="G16" s="12">
        <v>325</v>
      </c>
      <c r="H16" s="12">
        <v>250</v>
      </c>
      <c r="I16" s="12">
        <v>325</v>
      </c>
      <c r="J16" s="12">
        <f t="shared" si="1"/>
        <v>275</v>
      </c>
      <c r="K16" s="12" t="s">
        <v>42</v>
      </c>
      <c r="L16" s="12"/>
      <c r="M16" s="12"/>
      <c r="N16" s="12" t="s">
        <v>43</v>
      </c>
      <c r="O16" s="12"/>
      <c r="P16" s="12"/>
      <c r="R16" s="12" t="s">
        <v>44</v>
      </c>
      <c r="T16" s="41" t="s">
        <v>45</v>
      </c>
    </row>
    <row r="17" spans="2:20" x14ac:dyDescent="0.35">
      <c r="B17" s="5" t="s">
        <v>37</v>
      </c>
      <c r="C17" s="15">
        <v>758.56780000000003</v>
      </c>
      <c r="E17" s="12" t="s">
        <v>46</v>
      </c>
      <c r="F17" s="12">
        <v>625</v>
      </c>
      <c r="G17" s="12">
        <v>700</v>
      </c>
      <c r="H17" s="12">
        <v>550</v>
      </c>
      <c r="I17" s="12">
        <v>700</v>
      </c>
      <c r="J17" s="12">
        <f t="shared" si="1"/>
        <v>625</v>
      </c>
      <c r="K17" s="12" t="s">
        <v>47</v>
      </c>
      <c r="L17" s="12"/>
      <c r="M17" s="12"/>
      <c r="N17" s="12"/>
      <c r="O17" s="12"/>
      <c r="P17" s="12"/>
      <c r="R17" s="12" t="s">
        <v>48</v>
      </c>
      <c r="T17" s="41" t="s">
        <v>49</v>
      </c>
    </row>
    <row r="18" spans="2:20" x14ac:dyDescent="0.35">
      <c r="B18" s="5" t="s">
        <v>42</v>
      </c>
      <c r="C18" s="15">
        <v>138.76179999999999</v>
      </c>
      <c r="E18" s="12" t="s">
        <v>50</v>
      </c>
      <c r="F18" s="12">
        <v>400</v>
      </c>
      <c r="G18" s="12">
        <v>450</v>
      </c>
      <c r="H18" s="12">
        <v>350</v>
      </c>
      <c r="I18" s="12">
        <v>450</v>
      </c>
      <c r="J18" s="12">
        <f t="shared" si="1"/>
        <v>400</v>
      </c>
      <c r="K18" s="12" t="s">
        <v>13</v>
      </c>
      <c r="L18" s="12"/>
      <c r="M18" s="12"/>
      <c r="N18" s="12" t="s">
        <v>51</v>
      </c>
      <c r="O18" s="12"/>
      <c r="P18" s="12"/>
      <c r="R18" s="12" t="s">
        <v>52</v>
      </c>
      <c r="T18" s="41" t="s">
        <v>53</v>
      </c>
    </row>
    <row r="19" spans="2:20" x14ac:dyDescent="0.35">
      <c r="B19" s="5" t="s">
        <v>47</v>
      </c>
      <c r="C19" s="15">
        <v>1.8608</v>
      </c>
      <c r="E19" s="12" t="s">
        <v>54</v>
      </c>
      <c r="F19" s="12">
        <v>352.20238095238096</v>
      </c>
      <c r="G19" s="12">
        <v>421.90476190476193</v>
      </c>
      <c r="H19" s="12">
        <v>312.20238095238096</v>
      </c>
      <c r="I19" s="12">
        <v>421.90476190476193</v>
      </c>
      <c r="J19" s="12">
        <f t="shared" si="1"/>
        <v>352.20238095238096</v>
      </c>
      <c r="K19" s="12" t="s">
        <v>55</v>
      </c>
      <c r="L19" s="12"/>
      <c r="M19" s="12"/>
      <c r="N19" s="12"/>
      <c r="O19" s="12"/>
      <c r="P19" s="12"/>
      <c r="R19" s="12" t="s">
        <v>56</v>
      </c>
    </row>
    <row r="20" spans="2:20" x14ac:dyDescent="0.35">
      <c r="B20" s="5" t="s">
        <v>55</v>
      </c>
      <c r="C20" s="15">
        <v>2.2879</v>
      </c>
      <c r="E20" s="12" t="s">
        <v>57</v>
      </c>
      <c r="F20" s="12">
        <v>350</v>
      </c>
      <c r="G20" s="12">
        <v>400</v>
      </c>
      <c r="H20" s="12">
        <v>300</v>
      </c>
      <c r="I20" s="12">
        <v>400</v>
      </c>
      <c r="J20" s="12">
        <f t="shared" si="1"/>
        <v>350</v>
      </c>
      <c r="K20" s="12" t="s">
        <v>58</v>
      </c>
      <c r="L20" s="12"/>
      <c r="M20" s="12"/>
      <c r="N20" s="12" t="s">
        <v>31</v>
      </c>
      <c r="O20" s="12"/>
      <c r="P20" s="12"/>
      <c r="R20" s="12" t="s">
        <v>59</v>
      </c>
    </row>
    <row r="21" spans="2:20" x14ac:dyDescent="0.35">
      <c r="B21" s="5" t="s">
        <v>60</v>
      </c>
      <c r="C21" s="15">
        <v>2.3328500000000001</v>
      </c>
      <c r="E21" s="12" t="s">
        <v>61</v>
      </c>
      <c r="F21" s="12">
        <v>352.20238095238096</v>
      </c>
      <c r="G21" s="12">
        <v>421.90476190476193</v>
      </c>
      <c r="H21" s="12">
        <v>312.20238095238096</v>
      </c>
      <c r="I21" s="12">
        <v>421.90476190476193</v>
      </c>
      <c r="J21" s="12">
        <f t="shared" si="1"/>
        <v>352.20238095238096</v>
      </c>
      <c r="K21" s="12" t="s">
        <v>62</v>
      </c>
      <c r="L21" s="12"/>
      <c r="M21" s="12"/>
      <c r="N21" s="12"/>
      <c r="O21" s="12"/>
      <c r="P21" s="12"/>
      <c r="R21" s="12" t="s">
        <v>63</v>
      </c>
    </row>
    <row r="22" spans="2:20" x14ac:dyDescent="0.35">
      <c r="B22" s="5" t="s">
        <v>64</v>
      </c>
      <c r="C22" s="15">
        <v>2.6987000000000001</v>
      </c>
      <c r="E22" s="12" t="s">
        <v>65</v>
      </c>
      <c r="F22" s="12">
        <v>352.20238095238096</v>
      </c>
      <c r="G22" s="12">
        <v>421.90476190476193</v>
      </c>
      <c r="H22" s="12">
        <v>312.20238095238096</v>
      </c>
      <c r="I22" s="12">
        <v>421.90476190476193</v>
      </c>
      <c r="J22" s="12">
        <f t="shared" si="1"/>
        <v>352.20238095238096</v>
      </c>
      <c r="K22" s="12" t="s">
        <v>64</v>
      </c>
      <c r="L22" s="12"/>
      <c r="M22" s="12"/>
      <c r="N22" s="12"/>
      <c r="O22" s="12"/>
      <c r="P22" s="12"/>
      <c r="R22" s="12" t="s">
        <v>66</v>
      </c>
    </row>
    <row r="23" spans="2:20" x14ac:dyDescent="0.35">
      <c r="B23" s="5" t="s">
        <v>62</v>
      </c>
      <c r="C23" s="15">
        <v>115.70700000000001</v>
      </c>
      <c r="E23" s="12" t="s">
        <v>67</v>
      </c>
      <c r="F23" s="12">
        <v>350</v>
      </c>
      <c r="G23" s="12">
        <v>450</v>
      </c>
      <c r="H23" s="12">
        <v>300</v>
      </c>
      <c r="I23" s="12">
        <v>450</v>
      </c>
      <c r="J23" s="12">
        <f t="shared" si="1"/>
        <v>350</v>
      </c>
      <c r="K23" s="12" t="s">
        <v>68</v>
      </c>
      <c r="L23" s="12"/>
      <c r="M23" s="12"/>
      <c r="N23" s="12"/>
      <c r="O23" s="12"/>
      <c r="P23" s="12"/>
      <c r="R23" s="12" t="s">
        <v>69</v>
      </c>
    </row>
    <row r="24" spans="2:20" x14ac:dyDescent="0.35">
      <c r="B24" s="5" t="s">
        <v>70</v>
      </c>
      <c r="C24" s="15">
        <v>2.3297000000000003</v>
      </c>
      <c r="E24" s="12" t="s">
        <v>71</v>
      </c>
      <c r="F24" s="12">
        <v>350</v>
      </c>
      <c r="G24" s="12">
        <v>450</v>
      </c>
      <c r="H24" s="12">
        <v>300</v>
      </c>
      <c r="I24" s="12">
        <v>450</v>
      </c>
      <c r="J24" s="12">
        <f t="shared" si="1"/>
        <v>350</v>
      </c>
      <c r="K24" s="12" t="s">
        <v>13</v>
      </c>
      <c r="L24" s="12"/>
      <c r="M24" s="12"/>
      <c r="N24" s="12"/>
      <c r="O24" s="12"/>
      <c r="P24" s="12"/>
      <c r="R24" s="12" t="s">
        <v>72</v>
      </c>
    </row>
    <row r="25" spans="2:20" x14ac:dyDescent="0.35">
      <c r="B25" s="5" t="s">
        <v>58</v>
      </c>
      <c r="C25" s="15">
        <v>0.50950000000000006</v>
      </c>
      <c r="E25" s="12" t="s">
        <v>73</v>
      </c>
      <c r="F25" s="12">
        <v>352.20238095238096</v>
      </c>
      <c r="G25" s="12">
        <v>421.90476190476193</v>
      </c>
      <c r="H25" s="12">
        <v>312.20238095238096</v>
      </c>
      <c r="I25" s="12">
        <v>421.90476190476193</v>
      </c>
      <c r="J25" s="12">
        <f t="shared" si="1"/>
        <v>352.20238095238096</v>
      </c>
      <c r="K25" s="12" t="s">
        <v>74</v>
      </c>
      <c r="L25" s="12"/>
      <c r="M25" s="12"/>
      <c r="N25" s="12"/>
      <c r="O25" s="12"/>
      <c r="P25" s="12"/>
      <c r="R25" s="12" t="s">
        <v>75</v>
      </c>
    </row>
    <row r="26" spans="2:20" x14ac:dyDescent="0.35">
      <c r="B26" s="5" t="s">
        <v>76</v>
      </c>
      <c r="C26" s="15">
        <v>1.8226300000000002</v>
      </c>
      <c r="E26" s="12" t="s">
        <v>77</v>
      </c>
      <c r="F26" s="12">
        <v>325</v>
      </c>
      <c r="G26" s="12">
        <v>425</v>
      </c>
      <c r="H26" s="12">
        <v>300</v>
      </c>
      <c r="I26" s="12">
        <v>425</v>
      </c>
      <c r="J26" s="12">
        <f t="shared" si="1"/>
        <v>325</v>
      </c>
      <c r="K26" s="12" t="s">
        <v>78</v>
      </c>
      <c r="L26" s="12"/>
      <c r="M26" s="12"/>
      <c r="N26" s="12" t="s">
        <v>79</v>
      </c>
      <c r="O26" s="12"/>
      <c r="P26" s="12"/>
      <c r="R26"/>
    </row>
    <row r="27" spans="2:20" x14ac:dyDescent="0.35">
      <c r="B27" s="5" t="s">
        <v>78</v>
      </c>
      <c r="C27" s="15">
        <v>7.5277000000000003</v>
      </c>
      <c r="E27" s="12" t="s">
        <v>80</v>
      </c>
      <c r="F27" s="12">
        <v>352.20238095238096</v>
      </c>
      <c r="G27" s="12">
        <v>421.90476190476193</v>
      </c>
      <c r="H27" s="12">
        <v>312.20238095238096</v>
      </c>
      <c r="I27" s="12">
        <v>421.90476190476193</v>
      </c>
      <c r="J27" s="12">
        <f t="shared" si="1"/>
        <v>352.20238095238096</v>
      </c>
      <c r="K27" s="12" t="s">
        <v>76</v>
      </c>
      <c r="L27" s="12"/>
      <c r="M27" s="12"/>
      <c r="N27" s="12"/>
      <c r="O27" s="12"/>
      <c r="P27" s="12"/>
      <c r="R27"/>
    </row>
    <row r="28" spans="2:20" x14ac:dyDescent="0.35">
      <c r="B28" s="5" t="s">
        <v>74</v>
      </c>
      <c r="C28" s="15">
        <v>15.805800000000001</v>
      </c>
      <c r="E28" s="13" t="s">
        <v>81</v>
      </c>
      <c r="F28" s="12">
        <v>325</v>
      </c>
      <c r="G28" s="12">
        <v>375</v>
      </c>
      <c r="H28" s="12">
        <v>300</v>
      </c>
      <c r="I28" s="12">
        <v>375</v>
      </c>
      <c r="J28" s="12">
        <f t="shared" si="1"/>
        <v>325</v>
      </c>
      <c r="K28" s="12" t="s">
        <v>70</v>
      </c>
      <c r="L28" s="12"/>
      <c r="M28" s="12"/>
      <c r="N28" s="12" t="s">
        <v>82</v>
      </c>
      <c r="O28" s="12"/>
      <c r="P28" s="12"/>
      <c r="R28"/>
    </row>
    <row r="29" spans="2:20" x14ac:dyDescent="0.35">
      <c r="B29" s="5" t="s">
        <v>68</v>
      </c>
      <c r="C29" s="15">
        <v>3.4401000000000002</v>
      </c>
      <c r="E29" s="13" t="s">
        <v>83</v>
      </c>
      <c r="F29" s="12">
        <v>425</v>
      </c>
      <c r="G29" s="12">
        <v>500</v>
      </c>
      <c r="H29" s="12">
        <v>375</v>
      </c>
      <c r="I29" s="12">
        <v>500</v>
      </c>
      <c r="J29" s="12">
        <f t="shared" si="1"/>
        <v>425</v>
      </c>
      <c r="K29" s="12" t="s">
        <v>84</v>
      </c>
      <c r="L29" s="12"/>
      <c r="M29" s="12"/>
      <c r="N29" s="12"/>
      <c r="O29" s="12"/>
      <c r="P29" s="12"/>
      <c r="R29"/>
    </row>
    <row r="30" spans="2:20" x14ac:dyDescent="0.35">
      <c r="B30" s="5" t="s">
        <v>85</v>
      </c>
      <c r="C30" s="15">
        <v>1.7155</v>
      </c>
      <c r="E30" s="13" t="s">
        <v>86</v>
      </c>
      <c r="F30" s="12">
        <v>475</v>
      </c>
      <c r="G30" s="12">
        <v>525</v>
      </c>
      <c r="H30" s="12">
        <v>400</v>
      </c>
      <c r="I30" s="12">
        <v>525</v>
      </c>
      <c r="J30" s="12">
        <f t="shared" si="1"/>
        <v>475</v>
      </c>
      <c r="K30" s="12" t="s">
        <v>85</v>
      </c>
      <c r="L30" s="12"/>
      <c r="M30" s="12"/>
      <c r="N30" s="12" t="s">
        <v>32</v>
      </c>
      <c r="O30" s="12"/>
      <c r="P30" s="12"/>
      <c r="R30"/>
    </row>
    <row r="31" spans="2:20" x14ac:dyDescent="0.35">
      <c r="B31" s="5" t="s">
        <v>87</v>
      </c>
      <c r="C31" s="15">
        <v>2686.7179999999998</v>
      </c>
      <c r="E31" s="13" t="s">
        <v>88</v>
      </c>
      <c r="F31" s="12">
        <v>275</v>
      </c>
      <c r="G31" s="12">
        <v>325</v>
      </c>
      <c r="H31" s="12">
        <v>250</v>
      </c>
      <c r="I31" s="12">
        <v>325</v>
      </c>
      <c r="J31" s="12">
        <f t="shared" si="1"/>
        <v>275</v>
      </c>
      <c r="K31" s="12" t="s">
        <v>89</v>
      </c>
      <c r="L31" s="12"/>
      <c r="M31" s="12"/>
      <c r="N31" s="12" t="s">
        <v>43</v>
      </c>
      <c r="O31" s="12"/>
      <c r="P31" s="12"/>
      <c r="R31"/>
    </row>
    <row r="32" spans="2:20" x14ac:dyDescent="0.35">
      <c r="B32" s="5" t="s">
        <v>90</v>
      </c>
      <c r="C32" s="15">
        <v>1.2348000000000001</v>
      </c>
      <c r="E32" s="13" t="s">
        <v>91</v>
      </c>
      <c r="F32" s="12">
        <v>250</v>
      </c>
      <c r="G32" s="12">
        <v>300</v>
      </c>
      <c r="H32" s="12">
        <v>225</v>
      </c>
      <c r="I32" s="12">
        <v>300</v>
      </c>
      <c r="J32" s="12">
        <f t="shared" si="1"/>
        <v>250</v>
      </c>
      <c r="K32" s="12" t="s">
        <v>92</v>
      </c>
      <c r="L32" s="12"/>
      <c r="M32" s="12"/>
      <c r="N32" s="12" t="s">
        <v>93</v>
      </c>
      <c r="O32" s="12"/>
      <c r="P32" s="12"/>
      <c r="R32"/>
    </row>
    <row r="33" spans="2:18" x14ac:dyDescent="0.35">
      <c r="B33" s="5" t="s">
        <v>89</v>
      </c>
      <c r="C33" s="15">
        <v>1150.18</v>
      </c>
      <c r="E33" s="13" t="s">
        <v>94</v>
      </c>
      <c r="F33" s="12">
        <v>275</v>
      </c>
      <c r="G33" s="12">
        <v>325</v>
      </c>
      <c r="H33" s="12">
        <v>250</v>
      </c>
      <c r="I33" s="12">
        <v>325</v>
      </c>
      <c r="J33" s="12">
        <f t="shared" si="1"/>
        <v>275</v>
      </c>
      <c r="K33" s="12" t="s">
        <v>95</v>
      </c>
      <c r="L33" s="12"/>
      <c r="M33" s="12"/>
      <c r="N33" s="12" t="s">
        <v>43</v>
      </c>
      <c r="O33" s="12"/>
      <c r="P33" s="12"/>
      <c r="R33"/>
    </row>
    <row r="34" spans="2:18" x14ac:dyDescent="0.35">
      <c r="B34" s="5" t="s">
        <v>92</v>
      </c>
      <c r="C34" s="15">
        <v>8.5881000000000007</v>
      </c>
      <c r="E34" s="13" t="s">
        <v>96</v>
      </c>
      <c r="F34" s="12">
        <v>352.20238095238096</v>
      </c>
      <c r="G34" s="12">
        <v>421.90476190476193</v>
      </c>
      <c r="H34" s="12">
        <v>312.20238095238096</v>
      </c>
      <c r="I34" s="12">
        <v>421.90476190476193</v>
      </c>
      <c r="J34" s="12">
        <f t="shared" si="1"/>
        <v>352.20238095238096</v>
      </c>
      <c r="K34" s="12" t="s">
        <v>97</v>
      </c>
      <c r="L34" s="12"/>
      <c r="M34" s="12"/>
      <c r="N34" s="12" t="s">
        <v>43</v>
      </c>
      <c r="O34" s="12"/>
      <c r="P34" s="12"/>
      <c r="R34"/>
    </row>
    <row r="35" spans="2:18" x14ac:dyDescent="0.35">
      <c r="B35" s="5" t="s">
        <v>95</v>
      </c>
      <c r="C35" s="15">
        <v>5494</v>
      </c>
      <c r="E35" s="13" t="s">
        <v>98</v>
      </c>
      <c r="F35" s="12">
        <v>325</v>
      </c>
      <c r="G35" s="12">
        <v>375</v>
      </c>
      <c r="H35" s="12">
        <v>300</v>
      </c>
      <c r="I35" s="12">
        <v>375</v>
      </c>
      <c r="J35" s="12">
        <f t="shared" si="1"/>
        <v>325</v>
      </c>
      <c r="K35" s="12" t="s">
        <v>99</v>
      </c>
      <c r="L35" s="12"/>
      <c r="M35" s="12"/>
      <c r="N35" s="12"/>
      <c r="O35" s="12"/>
      <c r="P35" s="12"/>
      <c r="R35"/>
    </row>
    <row r="36" spans="2:18" x14ac:dyDescent="0.35">
      <c r="B36" s="5" t="s">
        <v>97</v>
      </c>
      <c r="C36" s="15">
        <v>862.55799999999999</v>
      </c>
      <c r="E36" s="13" t="s">
        <v>100</v>
      </c>
      <c r="F36" s="12">
        <v>350</v>
      </c>
      <c r="G36" s="12">
        <v>450</v>
      </c>
      <c r="H36" s="12">
        <v>300</v>
      </c>
      <c r="I36" s="12">
        <v>450</v>
      </c>
      <c r="J36" s="12">
        <f t="shared" si="1"/>
        <v>350</v>
      </c>
      <c r="K36" s="12" t="s">
        <v>13</v>
      </c>
      <c r="L36" s="12"/>
      <c r="M36" s="12"/>
      <c r="N36" s="12"/>
      <c r="O36" s="12"/>
      <c r="P36" s="12"/>
      <c r="R36"/>
    </row>
    <row r="37" spans="2:18" x14ac:dyDescent="0.35">
      <c r="B37" s="5" t="s">
        <v>101</v>
      </c>
      <c r="C37" s="15">
        <v>29.611000000000001</v>
      </c>
      <c r="E37" s="13" t="s">
        <v>102</v>
      </c>
      <c r="F37" s="12">
        <v>325</v>
      </c>
      <c r="G37" s="12">
        <v>375</v>
      </c>
      <c r="H37" s="12">
        <v>300</v>
      </c>
      <c r="I37" s="12">
        <v>375</v>
      </c>
      <c r="J37" s="12">
        <f t="shared" si="1"/>
        <v>325</v>
      </c>
      <c r="K37" s="12" t="s">
        <v>101</v>
      </c>
      <c r="L37" s="12"/>
      <c r="M37" s="12"/>
      <c r="N37" s="12"/>
      <c r="O37" s="12"/>
      <c r="P37" s="12"/>
      <c r="R37"/>
    </row>
    <row r="38" spans="2:18" x14ac:dyDescent="0.35">
      <c r="B38" s="5" t="s">
        <v>103</v>
      </c>
      <c r="C38" s="15">
        <v>239.87350000000001</v>
      </c>
      <c r="E38" s="13" t="s">
        <v>104</v>
      </c>
      <c r="F38" s="12">
        <v>352.20238095238096</v>
      </c>
      <c r="G38" s="12">
        <v>421.90476190476193</v>
      </c>
      <c r="H38" s="12">
        <v>312.20238095238096</v>
      </c>
      <c r="I38" s="12">
        <v>421.90476190476193</v>
      </c>
      <c r="J38" s="12">
        <f t="shared" si="1"/>
        <v>352.20238095238096</v>
      </c>
      <c r="K38" s="12" t="s">
        <v>105</v>
      </c>
      <c r="L38" s="12"/>
      <c r="M38" s="12"/>
      <c r="N38" s="12" t="s">
        <v>106</v>
      </c>
      <c r="O38" s="12"/>
      <c r="P38" s="12"/>
      <c r="R38"/>
    </row>
    <row r="39" spans="2:18" x14ac:dyDescent="0.35">
      <c r="B39" s="5" t="s">
        <v>105</v>
      </c>
      <c r="C39" s="15">
        <v>8.8582999999999998</v>
      </c>
      <c r="E39" s="13" t="s">
        <v>107</v>
      </c>
      <c r="F39" s="12">
        <v>352.20238095238096</v>
      </c>
      <c r="G39" s="12">
        <v>421.90476190476193</v>
      </c>
      <c r="H39" s="12">
        <v>312.20238095238096</v>
      </c>
      <c r="I39" s="12">
        <v>421.90476190476193</v>
      </c>
      <c r="J39" s="12">
        <f t="shared" si="1"/>
        <v>352.20238095238096</v>
      </c>
      <c r="K39" s="12" t="s">
        <v>108</v>
      </c>
      <c r="L39" s="12"/>
      <c r="M39" s="12"/>
      <c r="N39" s="12" t="s">
        <v>43</v>
      </c>
      <c r="O39" s="12"/>
      <c r="P39" s="12"/>
      <c r="R39"/>
    </row>
    <row r="40" spans="2:18" x14ac:dyDescent="0.35">
      <c r="B40" s="5" t="s">
        <v>108</v>
      </c>
      <c r="C40" s="15">
        <v>76.9893</v>
      </c>
      <c r="E40" s="13" t="s">
        <v>109</v>
      </c>
      <c r="F40" s="12">
        <v>352.20238095238096</v>
      </c>
      <c r="G40" s="12">
        <v>421.90476190476193</v>
      </c>
      <c r="H40" s="12">
        <v>312.20238095238096</v>
      </c>
      <c r="I40" s="12">
        <v>421.90476190476193</v>
      </c>
      <c r="J40" s="12">
        <f t="shared" si="1"/>
        <v>352.20238095238096</v>
      </c>
      <c r="K40" s="12" t="s">
        <v>6</v>
      </c>
      <c r="L40" s="12"/>
      <c r="M40" s="12"/>
      <c r="N40" s="12" t="s">
        <v>43</v>
      </c>
      <c r="O40" s="12"/>
      <c r="P40" s="12"/>
      <c r="R40"/>
    </row>
    <row r="41" spans="2:18" x14ac:dyDescent="0.35">
      <c r="B41" s="5" t="s">
        <v>30</v>
      </c>
      <c r="C41" s="15">
        <v>186.83110000000002</v>
      </c>
      <c r="E41" s="13" t="s">
        <v>110</v>
      </c>
      <c r="F41" s="12">
        <v>300</v>
      </c>
      <c r="G41" s="12">
        <v>400</v>
      </c>
      <c r="H41" s="12">
        <v>275</v>
      </c>
      <c r="I41" s="12">
        <v>400</v>
      </c>
      <c r="J41" s="12">
        <f t="shared" si="1"/>
        <v>300</v>
      </c>
      <c r="K41" s="12" t="s">
        <v>111</v>
      </c>
      <c r="L41" s="12"/>
      <c r="M41" s="12"/>
      <c r="N41" s="12" t="s">
        <v>31</v>
      </c>
      <c r="O41" s="12"/>
      <c r="P41" s="12"/>
      <c r="R41"/>
    </row>
    <row r="42" spans="2:18" x14ac:dyDescent="0.35">
      <c r="B42" s="5" t="s">
        <v>111</v>
      </c>
      <c r="C42" s="15">
        <v>21.1629</v>
      </c>
      <c r="E42" s="13" t="s">
        <v>112</v>
      </c>
      <c r="F42" s="12">
        <v>352.20238095238096</v>
      </c>
      <c r="G42" s="12">
        <v>421.90476190476193</v>
      </c>
      <c r="H42" s="12">
        <v>312.20238095238096</v>
      </c>
      <c r="I42" s="12">
        <v>421.90476190476193</v>
      </c>
      <c r="J42" s="12">
        <f t="shared" si="1"/>
        <v>352.20238095238096</v>
      </c>
      <c r="K42" s="12" t="s">
        <v>6</v>
      </c>
      <c r="L42" s="12"/>
      <c r="M42" s="12"/>
      <c r="N42" s="12" t="s">
        <v>43</v>
      </c>
      <c r="O42" s="12"/>
      <c r="P42" s="12"/>
      <c r="R42"/>
    </row>
    <row r="43" spans="2:18" x14ac:dyDescent="0.35">
      <c r="B43" s="5" t="s">
        <v>113</v>
      </c>
      <c r="C43" s="15">
        <v>66.480199999999996</v>
      </c>
      <c r="E43" s="13" t="s">
        <v>114</v>
      </c>
      <c r="F43" s="12">
        <v>325</v>
      </c>
      <c r="G43" s="12">
        <v>375</v>
      </c>
      <c r="H43" s="12">
        <v>300</v>
      </c>
      <c r="I43" s="12">
        <v>375</v>
      </c>
      <c r="J43" s="12">
        <f t="shared" si="1"/>
        <v>325</v>
      </c>
      <c r="K43" s="12" t="s">
        <v>13</v>
      </c>
      <c r="L43" s="12"/>
      <c r="M43" s="12"/>
      <c r="N43" s="12" t="s">
        <v>115</v>
      </c>
      <c r="O43" s="12"/>
      <c r="P43" s="12"/>
      <c r="R43"/>
    </row>
    <row r="44" spans="2:18" x14ac:dyDescent="0.35">
      <c r="B44" s="5" t="s">
        <v>13</v>
      </c>
      <c r="C44" s="15">
        <v>1.1912</v>
      </c>
      <c r="E44" s="13" t="s">
        <v>116</v>
      </c>
      <c r="F44" s="12">
        <v>450</v>
      </c>
      <c r="G44" s="12">
        <v>550</v>
      </c>
      <c r="H44" s="12">
        <v>400</v>
      </c>
      <c r="I44" s="12">
        <v>550</v>
      </c>
      <c r="J44" s="12">
        <f t="shared" si="1"/>
        <v>450</v>
      </c>
      <c r="K44" s="12" t="s">
        <v>13</v>
      </c>
      <c r="L44" s="12"/>
      <c r="M44" s="12"/>
      <c r="N44" s="12" t="s">
        <v>117</v>
      </c>
      <c r="O44" s="12"/>
      <c r="P44" s="12"/>
      <c r="R44"/>
    </row>
    <row r="45" spans="2:18" x14ac:dyDescent="0.35">
      <c r="B45" s="5" t="s">
        <v>11</v>
      </c>
      <c r="C45" s="15">
        <v>1</v>
      </c>
      <c r="E45" s="13" t="s">
        <v>118</v>
      </c>
      <c r="F45" s="12">
        <v>350</v>
      </c>
      <c r="G45" s="12">
        <v>450</v>
      </c>
      <c r="H45" s="12">
        <v>300</v>
      </c>
      <c r="I45" s="12">
        <v>450</v>
      </c>
      <c r="J45" s="12">
        <f t="shared" si="1"/>
        <v>350</v>
      </c>
      <c r="K45" s="12" t="s">
        <v>13</v>
      </c>
      <c r="L45" s="12"/>
      <c r="M45" s="12"/>
      <c r="N45" s="12" t="s">
        <v>32</v>
      </c>
      <c r="O45" s="12"/>
      <c r="P45" s="12"/>
      <c r="R45"/>
    </row>
    <row r="46" spans="2:18" x14ac:dyDescent="0.35">
      <c r="B46" s="5" t="s">
        <v>119</v>
      </c>
      <c r="C46" s="15">
        <v>4.1461000000000006</v>
      </c>
      <c r="E46" s="13" t="s">
        <v>120</v>
      </c>
      <c r="F46" s="12">
        <v>352.20238095238096</v>
      </c>
      <c r="G46" s="12">
        <v>421.90476190476193</v>
      </c>
      <c r="H46" s="12">
        <v>312.20238095238096</v>
      </c>
      <c r="I46" s="12">
        <v>421.90476190476193</v>
      </c>
      <c r="J46" s="12">
        <f t="shared" si="1"/>
        <v>352.20238095238096</v>
      </c>
      <c r="K46" s="12" t="s">
        <v>119</v>
      </c>
      <c r="L46" s="12"/>
      <c r="M46" s="12"/>
      <c r="N46" s="12"/>
      <c r="O46" s="12"/>
      <c r="P46" s="12"/>
      <c r="R46"/>
    </row>
    <row r="47" spans="2:18" x14ac:dyDescent="0.35">
      <c r="B47" s="5" t="s">
        <v>121</v>
      </c>
      <c r="C47" s="15">
        <v>8.1760000000000002</v>
      </c>
      <c r="E47" s="13" t="s">
        <v>122</v>
      </c>
      <c r="F47" s="12">
        <v>350</v>
      </c>
      <c r="G47" s="12">
        <v>450</v>
      </c>
      <c r="H47" s="12">
        <v>300</v>
      </c>
      <c r="I47" s="12">
        <v>450</v>
      </c>
      <c r="J47" s="12">
        <f t="shared" si="1"/>
        <v>350</v>
      </c>
      <c r="K47" s="12" t="s">
        <v>13</v>
      </c>
      <c r="L47" s="12"/>
      <c r="M47" s="12"/>
      <c r="N47" s="12" t="s">
        <v>51</v>
      </c>
      <c r="O47" s="12"/>
      <c r="P47" s="12"/>
      <c r="R47"/>
    </row>
    <row r="48" spans="2:18" x14ac:dyDescent="0.35">
      <c r="B48" s="5" t="s">
        <v>123</v>
      </c>
      <c r="C48" s="15">
        <v>12437.042300000001</v>
      </c>
      <c r="E48" s="13" t="s">
        <v>124</v>
      </c>
      <c r="F48" s="12">
        <v>375</v>
      </c>
      <c r="G48" s="12">
        <v>425</v>
      </c>
      <c r="H48" s="12">
        <v>325</v>
      </c>
      <c r="I48" s="12">
        <v>425</v>
      </c>
      <c r="J48" s="12">
        <f t="shared" si="1"/>
        <v>375</v>
      </c>
      <c r="K48" s="12" t="s">
        <v>121</v>
      </c>
      <c r="L48" s="12"/>
      <c r="M48" s="12"/>
      <c r="N48" s="12"/>
      <c r="O48" s="12"/>
      <c r="P48" s="12"/>
      <c r="R48"/>
    </row>
    <row r="49" spans="2:18" x14ac:dyDescent="0.35">
      <c r="B49" s="5" t="s">
        <v>125</v>
      </c>
      <c r="C49" s="15">
        <v>10.4125</v>
      </c>
      <c r="E49" s="13" t="s">
        <v>126</v>
      </c>
      <c r="F49" s="12">
        <v>352.20238095238096</v>
      </c>
      <c r="G49" s="12">
        <v>421.90476190476193</v>
      </c>
      <c r="H49" s="12">
        <v>312.20238095238096</v>
      </c>
      <c r="I49" s="12">
        <v>421.90476190476193</v>
      </c>
      <c r="J49" s="12">
        <f t="shared" si="1"/>
        <v>352.20238095238096</v>
      </c>
      <c r="K49" s="12" t="s">
        <v>11</v>
      </c>
      <c r="L49" s="12"/>
      <c r="M49" s="12"/>
      <c r="N49" s="12"/>
      <c r="O49" s="12"/>
      <c r="P49" s="12"/>
      <c r="R49"/>
    </row>
    <row r="50" spans="2:18" x14ac:dyDescent="0.35">
      <c r="B50" s="5" t="s">
        <v>127</v>
      </c>
      <c r="C50" s="15">
        <v>280.97370000000001</v>
      </c>
      <c r="E50" s="13" t="s">
        <v>128</v>
      </c>
      <c r="F50" s="12">
        <v>300</v>
      </c>
      <c r="G50" s="12">
        <v>400</v>
      </c>
      <c r="H50" s="12">
        <v>275</v>
      </c>
      <c r="I50" s="12">
        <v>400</v>
      </c>
      <c r="J50" s="12">
        <f t="shared" si="1"/>
        <v>300</v>
      </c>
      <c r="K50" s="12" t="s">
        <v>13</v>
      </c>
      <c r="L50" s="12"/>
      <c r="M50" s="12"/>
      <c r="N50" s="12" t="s">
        <v>129</v>
      </c>
      <c r="O50" s="12"/>
      <c r="P50" s="12"/>
      <c r="R50"/>
    </row>
    <row r="51" spans="2:18" x14ac:dyDescent="0.35">
      <c r="B51" s="5" t="s">
        <v>130</v>
      </c>
      <c r="C51" s="15">
        <v>10.5389</v>
      </c>
      <c r="E51" s="13" t="s">
        <v>131</v>
      </c>
      <c r="F51" s="12">
        <v>352.20238095238096</v>
      </c>
      <c r="G51" s="12">
        <v>421.90476190476193</v>
      </c>
      <c r="H51" s="12">
        <v>312.20238095238096</v>
      </c>
      <c r="I51" s="12">
        <v>421.90476190476193</v>
      </c>
      <c r="J51" s="12">
        <f t="shared" si="1"/>
        <v>352.20238095238096</v>
      </c>
      <c r="K51" s="12" t="s">
        <v>11</v>
      </c>
      <c r="L51" s="12"/>
      <c r="M51" s="12"/>
      <c r="N51" s="12"/>
      <c r="O51" s="12"/>
      <c r="P51" s="12"/>
      <c r="R51"/>
    </row>
    <row r="52" spans="2:18" x14ac:dyDescent="0.35">
      <c r="B52" s="5" t="s">
        <v>99</v>
      </c>
      <c r="C52" s="15">
        <v>8.9530000000000012</v>
      </c>
      <c r="E52" s="13" t="s">
        <v>132</v>
      </c>
      <c r="F52" s="12">
        <v>352.20238095238096</v>
      </c>
      <c r="G52" s="12">
        <v>421.90476190476193</v>
      </c>
      <c r="H52" s="12">
        <v>312.20238095238096</v>
      </c>
      <c r="I52" s="12">
        <v>421.90476190476193</v>
      </c>
      <c r="J52" s="12">
        <f t="shared" si="1"/>
        <v>352.20238095238096</v>
      </c>
      <c r="K52" s="12" t="s">
        <v>125</v>
      </c>
      <c r="L52" s="12"/>
      <c r="M52" s="12"/>
      <c r="N52" s="12" t="s">
        <v>43</v>
      </c>
      <c r="O52" s="12"/>
      <c r="P52" s="12"/>
      <c r="R52"/>
    </row>
    <row r="53" spans="2:18" x14ac:dyDescent="0.35">
      <c r="B53" s="5" t="s">
        <v>133</v>
      </c>
      <c r="C53" s="15">
        <v>133.72050000000002</v>
      </c>
      <c r="E53" s="13" t="s">
        <v>134</v>
      </c>
      <c r="F53" s="12">
        <v>352.20238095238096</v>
      </c>
      <c r="G53" s="12">
        <v>421.90476190476193</v>
      </c>
      <c r="H53" s="12">
        <v>312.20238095238096</v>
      </c>
      <c r="I53" s="12">
        <v>421.90476190476193</v>
      </c>
      <c r="J53" s="12">
        <f t="shared" si="1"/>
        <v>352.20238095238096</v>
      </c>
      <c r="K53" s="12" t="s">
        <v>127</v>
      </c>
      <c r="L53" s="12"/>
      <c r="M53" s="12"/>
      <c r="N53" s="12"/>
      <c r="O53" s="12"/>
      <c r="P53" s="12"/>
      <c r="R53"/>
    </row>
    <row r="54" spans="2:18" x14ac:dyDescent="0.35">
      <c r="B54" s="5" t="s">
        <v>135</v>
      </c>
      <c r="C54" s="15">
        <v>440.16</v>
      </c>
      <c r="E54" s="13" t="s">
        <v>136</v>
      </c>
      <c r="F54" s="12">
        <v>500</v>
      </c>
      <c r="G54" s="12">
        <v>575</v>
      </c>
      <c r="H54" s="12">
        <v>425</v>
      </c>
      <c r="I54" s="12">
        <v>575</v>
      </c>
      <c r="J54" s="12">
        <f t="shared" si="1"/>
        <v>500</v>
      </c>
      <c r="K54" s="12" t="s">
        <v>130</v>
      </c>
      <c r="L54" s="12"/>
      <c r="M54" s="12"/>
      <c r="N54" s="12" t="s">
        <v>93</v>
      </c>
      <c r="O54" s="12"/>
      <c r="P54" s="12"/>
      <c r="R54"/>
    </row>
    <row r="55" spans="2:18" x14ac:dyDescent="0.35">
      <c r="B55" s="5" t="s">
        <v>137</v>
      </c>
      <c r="C55" s="15">
        <v>19257.45</v>
      </c>
      <c r="E55" s="13" t="s">
        <v>138</v>
      </c>
      <c r="F55" s="12">
        <v>350</v>
      </c>
      <c r="G55" s="12">
        <v>400</v>
      </c>
      <c r="H55" s="12">
        <v>300</v>
      </c>
      <c r="I55" s="12">
        <v>400</v>
      </c>
      <c r="J55" s="12">
        <f t="shared" si="1"/>
        <v>350</v>
      </c>
      <c r="K55" s="12" t="s">
        <v>135</v>
      </c>
      <c r="L55" s="12"/>
      <c r="M55" s="12"/>
      <c r="N55" s="12" t="s">
        <v>139</v>
      </c>
      <c r="O55" s="12"/>
      <c r="P55" s="12"/>
      <c r="R55"/>
    </row>
    <row r="56" spans="2:18" x14ac:dyDescent="0.35">
      <c r="B56" s="5" t="s">
        <v>140</v>
      </c>
      <c r="C56" s="15">
        <v>4.1890999999999998</v>
      </c>
      <c r="E56" s="13" t="s">
        <v>141</v>
      </c>
      <c r="F56" s="12">
        <v>352.20238095238096</v>
      </c>
      <c r="G56" s="12">
        <v>421.90476190476193</v>
      </c>
      <c r="H56" s="12">
        <v>312.20238095238096</v>
      </c>
      <c r="I56" s="12">
        <v>421.90476190476193</v>
      </c>
      <c r="J56" s="12">
        <f t="shared" si="1"/>
        <v>352.20238095238096</v>
      </c>
      <c r="K56" s="12" t="s">
        <v>142</v>
      </c>
      <c r="L56" s="12"/>
      <c r="M56" s="12"/>
      <c r="N56" s="12"/>
      <c r="O56" s="12"/>
      <c r="P56" s="12"/>
      <c r="R56"/>
    </row>
    <row r="57" spans="2:18" x14ac:dyDescent="0.35">
      <c r="B57" s="5" t="s">
        <v>143</v>
      </c>
      <c r="C57" s="15">
        <v>100.605</v>
      </c>
      <c r="E57" s="13" t="s">
        <v>144</v>
      </c>
      <c r="F57" s="12">
        <v>250</v>
      </c>
      <c r="G57" s="12">
        <v>300</v>
      </c>
      <c r="H57" s="12">
        <v>225</v>
      </c>
      <c r="I57" s="12">
        <v>300</v>
      </c>
      <c r="J57" s="12">
        <f t="shared" si="1"/>
        <v>250</v>
      </c>
      <c r="K57" s="12" t="s">
        <v>143</v>
      </c>
      <c r="L57" s="12"/>
      <c r="M57" s="12"/>
      <c r="N57" s="12"/>
      <c r="O57" s="12"/>
      <c r="P57" s="12"/>
      <c r="R57"/>
    </row>
    <row r="58" spans="2:18" x14ac:dyDescent="0.35">
      <c r="B58" s="5" t="s">
        <v>145</v>
      </c>
      <c r="C58" s="15">
        <v>1971.0710000000001</v>
      </c>
      <c r="E58" s="13" t="s">
        <v>146</v>
      </c>
      <c r="F58" s="12">
        <v>275</v>
      </c>
      <c r="G58" s="12">
        <v>325</v>
      </c>
      <c r="H58" s="12">
        <v>250</v>
      </c>
      <c r="I58" s="12">
        <v>325</v>
      </c>
      <c r="J58" s="12">
        <f t="shared" si="1"/>
        <v>275</v>
      </c>
      <c r="K58" s="12" t="s">
        <v>137</v>
      </c>
      <c r="L58" s="12"/>
      <c r="M58" s="12"/>
      <c r="N58" s="12" t="s">
        <v>147</v>
      </c>
      <c r="O58" s="12"/>
      <c r="P58" s="12"/>
      <c r="R58"/>
    </row>
    <row r="59" spans="2:18" x14ac:dyDescent="0.35">
      <c r="B59" s="5" t="s">
        <v>148</v>
      </c>
      <c r="C59" s="15">
        <v>56758.8</v>
      </c>
      <c r="E59" s="13" t="s">
        <v>149</v>
      </c>
      <c r="F59" s="12">
        <v>352.20238095238096</v>
      </c>
      <c r="G59" s="12">
        <v>421.90476190476193</v>
      </c>
      <c r="H59" s="12">
        <v>312.20238095238096</v>
      </c>
      <c r="I59" s="12">
        <v>421.90476190476193</v>
      </c>
      <c r="J59" s="12">
        <f t="shared" si="1"/>
        <v>352.20238095238096</v>
      </c>
      <c r="K59" s="12" t="s">
        <v>145</v>
      </c>
      <c r="L59" s="12"/>
      <c r="M59" s="12"/>
      <c r="N59" s="12" t="s">
        <v>31</v>
      </c>
      <c r="O59" s="12"/>
      <c r="P59" s="12"/>
      <c r="R59"/>
    </row>
    <row r="60" spans="2:18" x14ac:dyDescent="0.35">
      <c r="B60" s="5" t="s">
        <v>142</v>
      </c>
      <c r="C60" s="15">
        <v>175.64000000000001</v>
      </c>
      <c r="E60" s="13" t="s">
        <v>150</v>
      </c>
      <c r="F60" s="12">
        <v>350</v>
      </c>
      <c r="G60" s="12">
        <v>450</v>
      </c>
      <c r="H60" s="12">
        <v>300</v>
      </c>
      <c r="I60" s="12">
        <v>450</v>
      </c>
      <c r="J60" s="12">
        <f t="shared" si="1"/>
        <v>350</v>
      </c>
      <c r="K60" s="12" t="s">
        <v>13</v>
      </c>
      <c r="L60" s="12"/>
      <c r="M60" s="12"/>
      <c r="N60" s="12"/>
      <c r="O60" s="12"/>
      <c r="P60" s="12"/>
      <c r="R60"/>
    </row>
    <row r="61" spans="2:18" x14ac:dyDescent="0.35">
      <c r="B61" s="5" t="s">
        <v>151</v>
      </c>
      <c r="C61" s="15">
        <v>206.64000000000001</v>
      </c>
      <c r="E61" s="13" t="s">
        <v>152</v>
      </c>
      <c r="F61" s="12">
        <v>450</v>
      </c>
      <c r="G61" s="12">
        <v>500</v>
      </c>
      <c r="H61" s="12">
        <v>400</v>
      </c>
      <c r="I61" s="12">
        <v>500</v>
      </c>
      <c r="J61" s="12">
        <f t="shared" si="1"/>
        <v>450</v>
      </c>
      <c r="K61" s="12" t="s">
        <v>140</v>
      </c>
      <c r="L61" s="12"/>
      <c r="M61" s="12"/>
      <c r="N61" s="12" t="s">
        <v>153</v>
      </c>
      <c r="O61" s="12"/>
      <c r="P61" s="12"/>
      <c r="R61"/>
    </row>
    <row r="62" spans="2:18" x14ac:dyDescent="0.35">
      <c r="B62" s="5" t="s">
        <v>154</v>
      </c>
      <c r="C62" s="15">
        <v>0.95680000000000009</v>
      </c>
      <c r="E62" s="13" t="s">
        <v>155</v>
      </c>
      <c r="F62" s="12">
        <v>350</v>
      </c>
      <c r="G62" s="12">
        <v>400</v>
      </c>
      <c r="H62" s="12">
        <v>300</v>
      </c>
      <c r="I62" s="12">
        <v>400</v>
      </c>
      <c r="J62" s="12">
        <f t="shared" si="1"/>
        <v>350</v>
      </c>
      <c r="K62" s="12" t="s">
        <v>13</v>
      </c>
      <c r="L62" s="12"/>
      <c r="M62" s="12"/>
      <c r="N62" s="12" t="s">
        <v>156</v>
      </c>
      <c r="O62" s="12"/>
      <c r="P62" s="12"/>
      <c r="R62"/>
    </row>
    <row r="63" spans="2:18" x14ac:dyDescent="0.35">
      <c r="B63" s="5" t="s">
        <v>157</v>
      </c>
      <c r="C63" s="15">
        <v>155.51</v>
      </c>
      <c r="E63" s="13" t="s">
        <v>158</v>
      </c>
      <c r="F63" s="12">
        <v>300</v>
      </c>
      <c r="G63" s="12">
        <v>400</v>
      </c>
      <c r="H63" s="12">
        <v>275</v>
      </c>
      <c r="I63" s="12">
        <v>400</v>
      </c>
      <c r="J63" s="12">
        <f t="shared" si="1"/>
        <v>300</v>
      </c>
      <c r="K63" s="12" t="s">
        <v>159</v>
      </c>
      <c r="L63" s="12"/>
      <c r="M63" s="12"/>
      <c r="N63" s="12"/>
      <c r="O63" s="12"/>
      <c r="P63" s="12"/>
      <c r="R63"/>
    </row>
    <row r="64" spans="2:18" x14ac:dyDescent="0.35">
      <c r="B64" s="5" t="s">
        <v>160</v>
      </c>
      <c r="C64" s="15">
        <v>152.7758</v>
      </c>
      <c r="E64" s="13" t="s">
        <v>161</v>
      </c>
      <c r="F64" s="12">
        <v>352.20238095238096</v>
      </c>
      <c r="G64" s="12">
        <v>421.90476190476193</v>
      </c>
      <c r="H64" s="12">
        <v>312.20238095238096</v>
      </c>
      <c r="I64" s="12">
        <v>421.90476190476193</v>
      </c>
      <c r="J64" s="12">
        <f t="shared" si="1"/>
        <v>352.20238095238096</v>
      </c>
      <c r="K64" s="12" t="s">
        <v>151</v>
      </c>
      <c r="L64" s="12"/>
      <c r="M64" s="12"/>
      <c r="N64" s="12"/>
      <c r="O64" s="12"/>
      <c r="P64" s="12"/>
      <c r="R64"/>
    </row>
    <row r="65" spans="2:18" x14ac:dyDescent="0.35">
      <c r="B65" s="5" t="s">
        <v>84</v>
      </c>
      <c r="C65" s="15">
        <v>5485.3461000000007</v>
      </c>
      <c r="E65" s="13" t="s">
        <v>162</v>
      </c>
      <c r="F65" s="12">
        <v>625</v>
      </c>
      <c r="G65" s="12">
        <v>925</v>
      </c>
      <c r="H65" s="12">
        <v>550</v>
      </c>
      <c r="I65" s="12">
        <v>925</v>
      </c>
      <c r="J65" s="12">
        <f t="shared" si="1"/>
        <v>625</v>
      </c>
      <c r="K65" s="12" t="s">
        <v>157</v>
      </c>
      <c r="L65" s="12"/>
      <c r="M65" s="12"/>
      <c r="N65" s="12"/>
      <c r="O65" s="12"/>
      <c r="P65" s="12"/>
      <c r="R65"/>
    </row>
    <row r="66" spans="2:18" x14ac:dyDescent="0.35">
      <c r="B66" s="5" t="s">
        <v>163</v>
      </c>
      <c r="C66" s="15">
        <v>1606.03</v>
      </c>
      <c r="E66" s="13" t="s">
        <v>164</v>
      </c>
      <c r="F66" s="12">
        <v>350</v>
      </c>
      <c r="G66" s="12">
        <v>400</v>
      </c>
      <c r="H66" s="12">
        <v>300</v>
      </c>
      <c r="I66" s="12">
        <v>400</v>
      </c>
      <c r="J66" s="12">
        <f t="shared" si="1"/>
        <v>350</v>
      </c>
      <c r="K66" s="12" t="s">
        <v>154</v>
      </c>
      <c r="L66" s="12"/>
      <c r="M66" s="12"/>
      <c r="N66" s="12" t="s">
        <v>31</v>
      </c>
      <c r="O66" s="12"/>
      <c r="P66" s="12"/>
      <c r="R66"/>
    </row>
    <row r="67" spans="2:18" x14ac:dyDescent="0.35">
      <c r="B67" s="5" t="s">
        <v>165</v>
      </c>
      <c r="C67" s="15">
        <v>0.40840000000000004</v>
      </c>
      <c r="E67" s="13" t="s">
        <v>166</v>
      </c>
      <c r="F67" s="12">
        <v>300</v>
      </c>
      <c r="G67" s="12">
        <v>350</v>
      </c>
      <c r="H67" s="12">
        <v>275</v>
      </c>
      <c r="I67" s="12">
        <v>350</v>
      </c>
      <c r="J67" s="12">
        <f t="shared" si="1"/>
        <v>300</v>
      </c>
      <c r="K67" s="12" t="s">
        <v>167</v>
      </c>
      <c r="L67" s="12"/>
      <c r="M67" s="12"/>
      <c r="N67" s="12"/>
      <c r="O67" s="12"/>
      <c r="P67" s="12"/>
      <c r="R67"/>
    </row>
    <row r="68" spans="2:18" x14ac:dyDescent="0.35">
      <c r="B68" s="5" t="s">
        <v>167</v>
      </c>
      <c r="C68" s="15">
        <v>587.63</v>
      </c>
      <c r="E68" s="13" t="s">
        <v>168</v>
      </c>
      <c r="F68" s="12">
        <v>400</v>
      </c>
      <c r="G68" s="12">
        <v>350</v>
      </c>
      <c r="H68" s="12">
        <v>350</v>
      </c>
      <c r="I68" s="12">
        <v>350</v>
      </c>
      <c r="J68" s="12">
        <f t="shared" si="1"/>
        <v>400</v>
      </c>
      <c r="K68" s="12" t="s">
        <v>160</v>
      </c>
      <c r="L68" s="12"/>
      <c r="M68" s="12"/>
      <c r="N68" s="12"/>
      <c r="O68" s="12"/>
      <c r="P68" s="12"/>
      <c r="R68"/>
    </row>
    <row r="69" spans="2:18" x14ac:dyDescent="0.35">
      <c r="B69" s="5" t="s">
        <v>169</v>
      </c>
      <c r="C69" s="15">
        <v>2037.2355000000002</v>
      </c>
      <c r="E69" s="13" t="s">
        <v>170</v>
      </c>
      <c r="F69" s="12">
        <v>350</v>
      </c>
      <c r="G69" s="12">
        <v>400</v>
      </c>
      <c r="H69" s="12">
        <v>300</v>
      </c>
      <c r="I69" s="12">
        <v>400</v>
      </c>
      <c r="J69" s="12">
        <f t="shared" si="1"/>
        <v>350</v>
      </c>
      <c r="K69" s="12" t="s">
        <v>165</v>
      </c>
      <c r="L69" s="12"/>
      <c r="M69" s="12"/>
      <c r="N69" s="12" t="s">
        <v>31</v>
      </c>
      <c r="O69" s="12"/>
      <c r="P69" s="12"/>
      <c r="R69"/>
    </row>
    <row r="70" spans="2:18" x14ac:dyDescent="0.35">
      <c r="B70" s="5" t="s">
        <v>171</v>
      </c>
      <c r="C70" s="15">
        <v>273.99599999999998</v>
      </c>
      <c r="E70" s="13" t="s">
        <v>172</v>
      </c>
      <c r="F70" s="12">
        <v>325</v>
      </c>
      <c r="G70" s="12">
        <v>375</v>
      </c>
      <c r="H70" s="12">
        <v>300</v>
      </c>
      <c r="I70" s="12">
        <v>375</v>
      </c>
      <c r="J70" s="12">
        <f t="shared" si="1"/>
        <v>325</v>
      </c>
      <c r="K70" s="12" t="s">
        <v>13</v>
      </c>
      <c r="L70" s="12"/>
      <c r="M70" s="12"/>
      <c r="N70" s="12" t="s">
        <v>173</v>
      </c>
      <c r="O70" s="12"/>
      <c r="P70" s="12"/>
      <c r="R70"/>
    </row>
    <row r="71" spans="2:18" x14ac:dyDescent="0.35">
      <c r="B71" s="5" t="s">
        <v>174</v>
      </c>
      <c r="C71" s="15">
        <v>6.1956000000000007</v>
      </c>
      <c r="E71" s="13" t="s">
        <v>175</v>
      </c>
      <c r="F71" s="12">
        <v>352.20238095238096</v>
      </c>
      <c r="G71" s="12">
        <v>421.90476190476193</v>
      </c>
      <c r="H71" s="12">
        <v>312.20238095238096</v>
      </c>
      <c r="I71" s="12">
        <v>421.90476190476193</v>
      </c>
      <c r="J71" s="12">
        <f t="shared" si="1"/>
        <v>352.20238095238096</v>
      </c>
      <c r="K71" s="12" t="s">
        <v>169</v>
      </c>
      <c r="L71" s="12"/>
      <c r="M71" s="12"/>
      <c r="N71" s="12"/>
      <c r="O71" s="12"/>
      <c r="P71" s="12"/>
      <c r="R71"/>
    </row>
    <row r="72" spans="2:18" x14ac:dyDescent="0.35">
      <c r="B72" s="5" t="s">
        <v>176</v>
      </c>
      <c r="C72" s="15">
        <v>12.536000000000001</v>
      </c>
      <c r="E72" s="13" t="s">
        <v>177</v>
      </c>
      <c r="F72" s="12">
        <v>325</v>
      </c>
      <c r="G72" s="12">
        <v>375</v>
      </c>
      <c r="H72" s="12">
        <v>300</v>
      </c>
      <c r="I72" s="12">
        <v>375</v>
      </c>
      <c r="J72" s="12">
        <f t="shared" si="1"/>
        <v>325</v>
      </c>
      <c r="K72" s="12" t="s">
        <v>13</v>
      </c>
      <c r="L72" s="12"/>
      <c r="M72" s="12"/>
      <c r="N72" s="12" t="s">
        <v>178</v>
      </c>
      <c r="O72" s="12"/>
      <c r="P72" s="12"/>
      <c r="R72"/>
    </row>
    <row r="73" spans="2:18" x14ac:dyDescent="0.35">
      <c r="B73" s="5" t="s">
        <v>179</v>
      </c>
      <c r="C73" s="15">
        <v>5327.2188000000006</v>
      </c>
      <c r="E73" s="13" t="s">
        <v>180</v>
      </c>
      <c r="F73" s="12">
        <v>400</v>
      </c>
      <c r="G73" s="12">
        <v>500</v>
      </c>
      <c r="H73" s="12">
        <v>350</v>
      </c>
      <c r="I73" s="12">
        <v>500</v>
      </c>
      <c r="J73" s="12">
        <f t="shared" si="1"/>
        <v>400</v>
      </c>
      <c r="K73" s="12" t="s">
        <v>13</v>
      </c>
      <c r="L73" s="12"/>
      <c r="M73" s="12"/>
      <c r="N73" s="12"/>
      <c r="O73" s="12"/>
      <c r="P73" s="12"/>
      <c r="R73"/>
    </row>
    <row r="74" spans="2:18" x14ac:dyDescent="0.35">
      <c r="B74" s="5" t="s">
        <v>181</v>
      </c>
      <c r="C74" s="15">
        <v>73.394999999999996</v>
      </c>
      <c r="E74" s="13" t="s">
        <v>182</v>
      </c>
      <c r="F74" s="12">
        <v>300</v>
      </c>
      <c r="G74" s="12">
        <v>350</v>
      </c>
      <c r="H74" s="12">
        <v>275</v>
      </c>
      <c r="I74" s="12">
        <v>350</v>
      </c>
      <c r="J74" s="12">
        <f t="shared" si="1"/>
        <v>300</v>
      </c>
      <c r="K74" s="12" t="s">
        <v>183</v>
      </c>
      <c r="L74" s="12"/>
      <c r="M74" s="12"/>
      <c r="N74" s="12" t="s">
        <v>184</v>
      </c>
      <c r="O74" s="12"/>
      <c r="P74" s="12"/>
      <c r="R74"/>
    </row>
    <row r="75" spans="2:18" x14ac:dyDescent="0.35">
      <c r="B75" s="5" t="s">
        <v>185</v>
      </c>
      <c r="C75" s="15">
        <v>2391.3023000000003</v>
      </c>
      <c r="E75" s="13" t="s">
        <v>186</v>
      </c>
      <c r="F75" s="12">
        <v>400</v>
      </c>
      <c r="G75" s="12">
        <v>500</v>
      </c>
      <c r="H75" s="12">
        <v>350</v>
      </c>
      <c r="I75" s="12">
        <v>500</v>
      </c>
      <c r="J75" s="12">
        <f t="shared" si="1"/>
        <v>400</v>
      </c>
      <c r="K75" s="12" t="s">
        <v>13</v>
      </c>
      <c r="L75" s="12"/>
      <c r="M75" s="12"/>
      <c r="N75" s="12"/>
      <c r="O75" s="12"/>
      <c r="P75" s="12"/>
      <c r="R75"/>
    </row>
    <row r="76" spans="2:18" x14ac:dyDescent="0.35">
      <c r="B76" s="5" t="s">
        <v>187</v>
      </c>
      <c r="C76" s="15">
        <v>10.8558</v>
      </c>
      <c r="E76" s="13" t="s">
        <v>188</v>
      </c>
      <c r="F76" s="12">
        <v>352.20238095238096</v>
      </c>
      <c r="G76" s="12">
        <v>421.90476190476193</v>
      </c>
      <c r="H76" s="12">
        <v>312.20238095238096</v>
      </c>
      <c r="I76" s="12">
        <v>421.90476190476193</v>
      </c>
      <c r="J76" s="12">
        <f t="shared" si="1"/>
        <v>352.20238095238096</v>
      </c>
      <c r="K76" s="12" t="s">
        <v>189</v>
      </c>
      <c r="L76" s="12"/>
      <c r="M76" s="12"/>
      <c r="N76" s="12"/>
      <c r="O76" s="12"/>
      <c r="P76" s="12"/>
      <c r="R76"/>
    </row>
    <row r="77" spans="2:18" x14ac:dyDescent="0.35">
      <c r="B77" s="5" t="s">
        <v>190</v>
      </c>
      <c r="C77" s="15">
        <v>486.29399999999998</v>
      </c>
      <c r="E77" s="13" t="s">
        <v>191</v>
      </c>
      <c r="F77" s="12">
        <v>275</v>
      </c>
      <c r="G77" s="12">
        <v>325</v>
      </c>
      <c r="H77" s="12">
        <v>250</v>
      </c>
      <c r="I77" s="12">
        <v>325</v>
      </c>
      <c r="J77" s="12">
        <f t="shared" si="1"/>
        <v>275</v>
      </c>
      <c r="K77" s="12" t="s">
        <v>192</v>
      </c>
      <c r="L77" s="12"/>
      <c r="M77" s="12"/>
      <c r="N77" s="12" t="s">
        <v>43</v>
      </c>
      <c r="O77" s="12"/>
      <c r="P77" s="12"/>
      <c r="R77"/>
    </row>
    <row r="78" spans="2:18" x14ac:dyDescent="0.35">
      <c r="B78" s="5" t="s">
        <v>189</v>
      </c>
      <c r="C78" s="15">
        <v>58.718000000000004</v>
      </c>
      <c r="E78" s="13" t="s">
        <v>193</v>
      </c>
      <c r="F78" s="12">
        <v>352.20238095238096</v>
      </c>
      <c r="G78" s="12">
        <v>421.90476190476193</v>
      </c>
      <c r="H78" s="12">
        <v>312.20238095238096</v>
      </c>
      <c r="I78" s="12">
        <v>421.90476190476193</v>
      </c>
      <c r="J78" s="12">
        <f t="shared" si="1"/>
        <v>352.20238095238096</v>
      </c>
      <c r="K78" s="12" t="s">
        <v>13</v>
      </c>
      <c r="L78" s="12"/>
      <c r="M78" s="12"/>
      <c r="N78" s="12"/>
      <c r="O78" s="12"/>
      <c r="P78" s="12"/>
      <c r="R78"/>
    </row>
    <row r="79" spans="2:18" x14ac:dyDescent="0.35">
      <c r="B79" s="5" t="s">
        <v>192</v>
      </c>
      <c r="C79" s="15">
        <v>27.5261</v>
      </c>
      <c r="E79" s="13" t="s">
        <v>194</v>
      </c>
      <c r="F79" s="12">
        <v>320</v>
      </c>
      <c r="G79" s="12">
        <v>370</v>
      </c>
      <c r="H79" s="12">
        <v>275</v>
      </c>
      <c r="I79" s="12">
        <v>370</v>
      </c>
      <c r="J79" s="12">
        <f t="shared" ref="J79:J134" si="2">F79</f>
        <v>320</v>
      </c>
      <c r="K79" s="12" t="s">
        <v>176</v>
      </c>
      <c r="L79" s="12"/>
      <c r="M79" s="12"/>
      <c r="N79" s="12" t="s">
        <v>31</v>
      </c>
      <c r="O79" s="12" t="s">
        <v>32</v>
      </c>
      <c r="P79" s="12"/>
      <c r="R79"/>
    </row>
    <row r="80" spans="2:18" x14ac:dyDescent="0.35">
      <c r="B80" s="5" t="s">
        <v>183</v>
      </c>
      <c r="C80" s="15">
        <v>5.6272000000000002</v>
      </c>
      <c r="E80" s="13" t="s">
        <v>195</v>
      </c>
      <c r="F80" s="12">
        <v>352.20238095238096</v>
      </c>
      <c r="G80" s="12">
        <v>421.90476190476193</v>
      </c>
      <c r="H80" s="12">
        <v>312.20238095238096</v>
      </c>
      <c r="I80" s="12">
        <v>421.90476190476193</v>
      </c>
      <c r="J80" s="12">
        <f t="shared" si="2"/>
        <v>352.20238095238096</v>
      </c>
      <c r="K80" s="12" t="s">
        <v>196</v>
      </c>
      <c r="L80" s="12"/>
      <c r="M80" s="12"/>
      <c r="N80" s="12"/>
      <c r="O80" s="12"/>
      <c r="P80" s="12"/>
      <c r="R80"/>
    </row>
    <row r="81" spans="2:18" x14ac:dyDescent="0.35">
      <c r="B81" s="5" t="s">
        <v>196</v>
      </c>
      <c r="C81" s="15">
        <v>85.408500000000004</v>
      </c>
      <c r="E81" s="13" t="s">
        <v>197</v>
      </c>
      <c r="F81" s="12">
        <v>352.20238095238096</v>
      </c>
      <c r="G81" s="12">
        <v>421.90476190476193</v>
      </c>
      <c r="H81" s="12">
        <v>312.20238095238096</v>
      </c>
      <c r="I81" s="12">
        <v>421.90476190476193</v>
      </c>
      <c r="J81" s="12">
        <f t="shared" si="2"/>
        <v>352.20238095238096</v>
      </c>
      <c r="K81" s="12" t="s">
        <v>198</v>
      </c>
      <c r="L81" s="12"/>
      <c r="M81" s="12"/>
      <c r="N81" s="12"/>
      <c r="O81" s="12"/>
      <c r="P81" s="12"/>
      <c r="R81"/>
    </row>
    <row r="82" spans="2:18" x14ac:dyDescent="0.35">
      <c r="B82" s="5" t="s">
        <v>198</v>
      </c>
      <c r="C82" s="15">
        <v>21.558900000000001</v>
      </c>
      <c r="E82" s="13" t="s">
        <v>199</v>
      </c>
      <c r="F82" s="12">
        <v>352.20238095238096</v>
      </c>
      <c r="G82" s="12">
        <v>421.90476190476193</v>
      </c>
      <c r="H82" s="12">
        <v>312.20238095238096</v>
      </c>
      <c r="I82" s="12">
        <v>421.90476190476193</v>
      </c>
      <c r="J82" s="12">
        <f t="shared" si="2"/>
        <v>352.20238095238096</v>
      </c>
      <c r="K82" s="12" t="s">
        <v>200</v>
      </c>
      <c r="L82" s="12"/>
      <c r="M82" s="12"/>
      <c r="N82" s="12"/>
      <c r="O82" s="12"/>
      <c r="P82" s="12"/>
      <c r="R82"/>
    </row>
    <row r="83" spans="2:18" x14ac:dyDescent="0.35">
      <c r="B83" s="5" t="s">
        <v>201</v>
      </c>
      <c r="C83" s="15">
        <v>555.42540000000008</v>
      </c>
      <c r="E83" s="13" t="s">
        <v>202</v>
      </c>
      <c r="F83" s="12">
        <v>350</v>
      </c>
      <c r="G83" s="12">
        <v>450</v>
      </c>
      <c r="H83" s="12">
        <v>300</v>
      </c>
      <c r="I83" s="12">
        <v>450</v>
      </c>
      <c r="J83" s="12">
        <f t="shared" si="2"/>
        <v>350</v>
      </c>
      <c r="K83" s="12" t="s">
        <v>13</v>
      </c>
      <c r="L83" s="12"/>
      <c r="M83" s="12"/>
      <c r="N83" s="12"/>
      <c r="O83" s="12"/>
      <c r="P83" s="12"/>
      <c r="R83"/>
    </row>
    <row r="84" spans="2:18" x14ac:dyDescent="0.35">
      <c r="B84" s="5" t="s">
        <v>203</v>
      </c>
      <c r="C84" s="15">
        <v>11.934600000000001</v>
      </c>
      <c r="E84" s="13" t="s">
        <v>204</v>
      </c>
      <c r="F84" s="12">
        <v>600</v>
      </c>
      <c r="G84" s="12">
        <v>675</v>
      </c>
      <c r="H84" s="12">
        <v>525</v>
      </c>
      <c r="I84" s="12">
        <v>675</v>
      </c>
      <c r="J84" s="12">
        <f t="shared" si="2"/>
        <v>600</v>
      </c>
      <c r="K84" s="12" t="s">
        <v>205</v>
      </c>
      <c r="L84" s="12"/>
      <c r="M84" s="12"/>
      <c r="N84" s="12"/>
      <c r="O84" s="12"/>
      <c r="P84" s="12"/>
      <c r="R84"/>
    </row>
    <row r="85" spans="2:18" x14ac:dyDescent="0.35">
      <c r="B85" s="5" t="s">
        <v>200</v>
      </c>
      <c r="C85" s="15">
        <v>160.72200000000001</v>
      </c>
      <c r="E85" s="13" t="s">
        <v>206</v>
      </c>
      <c r="F85" s="12">
        <v>275</v>
      </c>
      <c r="G85" s="12">
        <v>325</v>
      </c>
      <c r="H85" s="12">
        <v>250</v>
      </c>
      <c r="I85" s="12">
        <v>325</v>
      </c>
      <c r="J85" s="12">
        <f t="shared" si="2"/>
        <v>275</v>
      </c>
      <c r="K85" s="12" t="s">
        <v>201</v>
      </c>
      <c r="L85" s="12"/>
      <c r="M85" s="12"/>
      <c r="N85" s="12"/>
      <c r="O85" s="12"/>
      <c r="P85" s="12"/>
      <c r="R85"/>
    </row>
    <row r="86" spans="2:18" x14ac:dyDescent="0.35">
      <c r="B86" s="5" t="s">
        <v>205</v>
      </c>
      <c r="C86" s="15">
        <v>1.9769000000000001</v>
      </c>
      <c r="E86" s="13" t="s">
        <v>207</v>
      </c>
      <c r="F86" s="12">
        <v>450</v>
      </c>
      <c r="G86" s="12">
        <v>550</v>
      </c>
      <c r="H86" s="12">
        <v>400</v>
      </c>
      <c r="I86" s="12">
        <v>550</v>
      </c>
      <c r="J86" s="12">
        <f t="shared" si="2"/>
        <v>450</v>
      </c>
      <c r="K86" s="12" t="s">
        <v>203</v>
      </c>
      <c r="L86" s="12"/>
      <c r="M86" s="12"/>
      <c r="N86" s="12"/>
      <c r="O86" s="12"/>
      <c r="P86" s="12"/>
      <c r="R86"/>
    </row>
    <row r="87" spans="2:18" x14ac:dyDescent="0.35">
      <c r="B87" s="5" t="s">
        <v>208</v>
      </c>
      <c r="C87" s="15">
        <v>0.52018000000000009</v>
      </c>
      <c r="E87" s="13" t="s">
        <v>209</v>
      </c>
      <c r="F87" s="12">
        <v>352.20238095238096</v>
      </c>
      <c r="G87" s="12">
        <v>421.90476190476193</v>
      </c>
      <c r="H87" s="12">
        <v>312.20238095238096</v>
      </c>
      <c r="I87" s="12">
        <v>421.90476190476193</v>
      </c>
      <c r="J87" s="12">
        <f t="shared" si="2"/>
        <v>352.20238095238096</v>
      </c>
      <c r="K87" s="12" t="s">
        <v>208</v>
      </c>
      <c r="L87" s="12"/>
      <c r="M87" s="12"/>
      <c r="N87" s="12" t="s">
        <v>31</v>
      </c>
      <c r="O87" s="12"/>
      <c r="P87" s="12"/>
      <c r="R87"/>
    </row>
    <row r="88" spans="2:18" x14ac:dyDescent="0.35">
      <c r="B88" s="5" t="s">
        <v>210</v>
      </c>
      <c r="C88" s="15">
        <v>1.3514000000000002</v>
      </c>
      <c r="E88" s="13" t="s">
        <v>211</v>
      </c>
      <c r="F88" s="12">
        <v>300</v>
      </c>
      <c r="G88" s="12">
        <v>350</v>
      </c>
      <c r="H88" s="12">
        <v>275</v>
      </c>
      <c r="I88" s="12">
        <v>350</v>
      </c>
      <c r="J88" s="12">
        <f t="shared" si="2"/>
        <v>300</v>
      </c>
      <c r="K88" s="12" t="s">
        <v>212</v>
      </c>
      <c r="L88" s="12"/>
      <c r="M88" s="12"/>
      <c r="N88" s="12"/>
      <c r="O88" s="12"/>
      <c r="P88" s="12"/>
      <c r="R88"/>
    </row>
    <row r="89" spans="2:18" x14ac:dyDescent="0.35">
      <c r="B89" s="5" t="s">
        <v>213</v>
      </c>
      <c r="C89" s="15">
        <v>5.3747000000000007</v>
      </c>
      <c r="E89" s="13" t="s">
        <v>214</v>
      </c>
      <c r="F89" s="12">
        <v>275</v>
      </c>
      <c r="G89" s="12">
        <v>325</v>
      </c>
      <c r="H89" s="12">
        <v>250</v>
      </c>
      <c r="I89" s="12">
        <v>325</v>
      </c>
      <c r="J89" s="12">
        <f t="shared" si="2"/>
        <v>275</v>
      </c>
      <c r="K89" s="12" t="s">
        <v>6</v>
      </c>
      <c r="L89" s="12"/>
      <c r="M89" s="12"/>
      <c r="N89" s="12" t="s">
        <v>43</v>
      </c>
      <c r="O89" s="12"/>
      <c r="P89" s="12"/>
      <c r="R89"/>
    </row>
    <row r="90" spans="2:18" x14ac:dyDescent="0.35">
      <c r="B90" s="5" t="s">
        <v>215</v>
      </c>
      <c r="C90" s="15">
        <v>68.907899999999998</v>
      </c>
      <c r="E90" s="13" t="s">
        <v>216</v>
      </c>
      <c r="F90" s="12">
        <v>352.20238095238096</v>
      </c>
      <c r="G90" s="12">
        <v>421.90476190476193</v>
      </c>
      <c r="H90" s="12">
        <v>312.20238095238096</v>
      </c>
      <c r="I90" s="12">
        <v>421.90476190476193</v>
      </c>
      <c r="J90" s="12">
        <f t="shared" si="2"/>
        <v>352.20238095238096</v>
      </c>
      <c r="K90" s="12" t="s">
        <v>217</v>
      </c>
      <c r="L90" s="12"/>
      <c r="M90" s="12"/>
      <c r="N90" s="12" t="s">
        <v>43</v>
      </c>
      <c r="O90" s="12"/>
      <c r="P90" s="12"/>
      <c r="R90"/>
    </row>
    <row r="91" spans="2:18" x14ac:dyDescent="0.35">
      <c r="B91" s="5" t="s">
        <v>212</v>
      </c>
      <c r="C91" s="15">
        <v>237.57610000000003</v>
      </c>
      <c r="E91" s="13" t="s">
        <v>218</v>
      </c>
      <c r="F91" s="12">
        <v>275</v>
      </c>
      <c r="G91" s="12">
        <v>325</v>
      </c>
      <c r="H91" s="12">
        <v>250</v>
      </c>
      <c r="I91" s="12">
        <v>325</v>
      </c>
      <c r="J91" s="12">
        <f t="shared" si="2"/>
        <v>275</v>
      </c>
      <c r="K91" s="12" t="s">
        <v>213</v>
      </c>
      <c r="L91" s="12"/>
      <c r="M91" s="12"/>
      <c r="N91" s="12" t="s">
        <v>43</v>
      </c>
      <c r="O91" s="12"/>
      <c r="P91" s="12"/>
      <c r="R91"/>
    </row>
    <row r="92" spans="2:18" x14ac:dyDescent="0.35">
      <c r="B92" s="5" t="s">
        <v>219</v>
      </c>
      <c r="C92" s="15">
        <v>5.4622000000000002</v>
      </c>
      <c r="E92" s="13" t="s">
        <v>220</v>
      </c>
      <c r="F92" s="12">
        <v>275</v>
      </c>
      <c r="G92" s="12">
        <v>325</v>
      </c>
      <c r="H92" s="12">
        <v>250</v>
      </c>
      <c r="I92" s="12">
        <v>325</v>
      </c>
      <c r="J92" s="12">
        <f t="shared" si="2"/>
        <v>275</v>
      </c>
      <c r="K92" s="12" t="s">
        <v>215</v>
      </c>
      <c r="L92" s="12"/>
      <c r="M92" s="12"/>
      <c r="N92" s="12"/>
      <c r="O92" s="12"/>
      <c r="P92" s="12"/>
      <c r="R92"/>
    </row>
    <row r="93" spans="2:18" x14ac:dyDescent="0.35">
      <c r="B93" s="5" t="s">
        <v>217</v>
      </c>
      <c r="C93" s="15">
        <v>9266.5498000000007</v>
      </c>
      <c r="E93" s="13" t="s">
        <v>221</v>
      </c>
      <c r="F93" s="12">
        <v>300</v>
      </c>
      <c r="G93" s="12">
        <v>400</v>
      </c>
      <c r="H93" s="12">
        <v>275</v>
      </c>
      <c r="I93" s="12">
        <v>400</v>
      </c>
      <c r="J93" s="12">
        <f t="shared" si="2"/>
        <v>300</v>
      </c>
      <c r="K93" s="12" t="s">
        <v>219</v>
      </c>
      <c r="L93" s="12"/>
      <c r="M93" s="12"/>
      <c r="N93" s="12" t="s">
        <v>222</v>
      </c>
      <c r="O93" s="12"/>
      <c r="P93" s="12"/>
      <c r="R93"/>
    </row>
    <row r="94" spans="2:18" x14ac:dyDescent="0.35">
      <c r="B94" s="5" t="s">
        <v>223</v>
      </c>
      <c r="C94" s="15">
        <v>4.9191000000000003</v>
      </c>
      <c r="E94" s="13" t="s">
        <v>224</v>
      </c>
      <c r="F94" s="12">
        <v>300</v>
      </c>
      <c r="G94" s="12">
        <v>350</v>
      </c>
      <c r="H94" s="12">
        <v>275</v>
      </c>
      <c r="I94" s="12">
        <v>350</v>
      </c>
      <c r="J94" s="12">
        <f t="shared" si="2"/>
        <v>300</v>
      </c>
      <c r="K94" s="12" t="s">
        <v>13</v>
      </c>
      <c r="L94" s="12"/>
      <c r="M94" s="12"/>
      <c r="N94" s="12" t="s">
        <v>79</v>
      </c>
      <c r="O94" s="12"/>
      <c r="P94" s="12"/>
      <c r="R94"/>
    </row>
    <row r="95" spans="2:18" x14ac:dyDescent="0.35">
      <c r="B95" s="5" t="s">
        <v>225</v>
      </c>
      <c r="C95" s="15">
        <v>5.8909000000000002</v>
      </c>
      <c r="E95" s="13" t="s">
        <v>226</v>
      </c>
      <c r="F95" s="12">
        <v>352.20238095238096</v>
      </c>
      <c r="G95" s="12">
        <v>421.90476190476193</v>
      </c>
      <c r="H95" s="12">
        <v>312.20238095238096</v>
      </c>
      <c r="I95" s="12">
        <v>421.90476190476193</v>
      </c>
      <c r="J95" s="12">
        <f t="shared" si="2"/>
        <v>352.20238095238096</v>
      </c>
      <c r="K95" s="12" t="s">
        <v>6</v>
      </c>
      <c r="L95" s="12"/>
      <c r="M95" s="12"/>
      <c r="N95" s="12" t="s">
        <v>43</v>
      </c>
      <c r="O95" s="12"/>
      <c r="P95" s="12"/>
      <c r="R95"/>
    </row>
    <row r="96" spans="2:18" x14ac:dyDescent="0.35">
      <c r="B96" s="5" t="s">
        <v>227</v>
      </c>
      <c r="C96" s="15">
        <v>139.94</v>
      </c>
      <c r="E96" s="13" t="s">
        <v>228</v>
      </c>
      <c r="F96" s="12">
        <v>350</v>
      </c>
      <c r="G96" s="12">
        <v>400</v>
      </c>
      <c r="H96" s="12">
        <v>300</v>
      </c>
      <c r="I96" s="12">
        <v>400</v>
      </c>
      <c r="J96" s="12">
        <f t="shared" si="2"/>
        <v>350</v>
      </c>
      <c r="K96" s="12" t="s">
        <v>223</v>
      </c>
      <c r="L96" s="12"/>
      <c r="M96" s="12"/>
      <c r="N96" s="12" t="s">
        <v>31</v>
      </c>
      <c r="O96" s="12"/>
      <c r="P96" s="12"/>
      <c r="R96"/>
    </row>
    <row r="97" spans="2:18" x14ac:dyDescent="0.35">
      <c r="B97" s="5" t="s">
        <v>229</v>
      </c>
      <c r="C97" s="15">
        <v>101.20880000000001</v>
      </c>
      <c r="E97" s="13" t="s">
        <v>230</v>
      </c>
      <c r="F97" s="12">
        <v>325</v>
      </c>
      <c r="G97" s="12">
        <v>375</v>
      </c>
      <c r="H97" s="12">
        <v>300</v>
      </c>
      <c r="I97" s="12">
        <v>375</v>
      </c>
      <c r="J97" s="12">
        <f t="shared" si="2"/>
        <v>325</v>
      </c>
      <c r="K97" s="12" t="s">
        <v>225</v>
      </c>
      <c r="L97" s="12"/>
      <c r="M97" s="12"/>
      <c r="N97" s="12" t="s">
        <v>231</v>
      </c>
      <c r="O97" s="12"/>
      <c r="P97" s="12"/>
      <c r="R97"/>
    </row>
    <row r="98" spans="2:18" x14ac:dyDescent="0.35">
      <c r="B98" s="5" t="s">
        <v>232</v>
      </c>
      <c r="C98" s="15">
        <v>1384.7931000000001</v>
      </c>
      <c r="E98" s="13" t="s">
        <v>233</v>
      </c>
      <c r="F98" s="12">
        <v>350</v>
      </c>
      <c r="G98" s="12">
        <v>450</v>
      </c>
      <c r="H98" s="12">
        <v>300</v>
      </c>
      <c r="I98" s="12">
        <v>450</v>
      </c>
      <c r="J98" s="12">
        <f t="shared" si="2"/>
        <v>350</v>
      </c>
      <c r="K98" s="12" t="s">
        <v>229</v>
      </c>
      <c r="L98" s="12"/>
      <c r="M98" s="12"/>
      <c r="N98" s="12"/>
      <c r="O98" s="12"/>
      <c r="P98" s="12"/>
      <c r="R98"/>
    </row>
    <row r="99" spans="2:18" x14ac:dyDescent="0.35">
      <c r="B99" s="5" t="s">
        <v>234</v>
      </c>
      <c r="C99" s="15">
        <v>5.0729000000000006</v>
      </c>
      <c r="E99" s="13" t="s">
        <v>235</v>
      </c>
      <c r="F99" s="12">
        <v>350</v>
      </c>
      <c r="G99" s="12">
        <v>400</v>
      </c>
      <c r="H99" s="12">
        <v>300</v>
      </c>
      <c r="I99" s="12">
        <v>400</v>
      </c>
      <c r="J99" s="12">
        <f t="shared" si="2"/>
        <v>350</v>
      </c>
      <c r="K99" s="12" t="s">
        <v>234</v>
      </c>
      <c r="L99" s="12"/>
      <c r="M99" s="12"/>
      <c r="N99" s="12" t="s">
        <v>31</v>
      </c>
      <c r="O99" s="12"/>
      <c r="P99" s="12"/>
      <c r="R99"/>
    </row>
    <row r="100" spans="2:18" x14ac:dyDescent="0.35">
      <c r="B100" s="5" t="s">
        <v>236</v>
      </c>
      <c r="C100" s="15">
        <v>18.406100000000002</v>
      </c>
      <c r="E100" s="13" t="s">
        <v>237</v>
      </c>
      <c r="F100" s="12">
        <v>300</v>
      </c>
      <c r="G100" s="12">
        <v>400</v>
      </c>
      <c r="H100" s="12">
        <v>275</v>
      </c>
      <c r="I100" s="12">
        <v>400</v>
      </c>
      <c r="J100" s="12">
        <f t="shared" si="2"/>
        <v>300</v>
      </c>
      <c r="K100" s="12" t="s">
        <v>159</v>
      </c>
      <c r="L100" s="12"/>
      <c r="M100" s="12"/>
      <c r="N100" s="12"/>
      <c r="O100" s="12"/>
      <c r="P100" s="12"/>
      <c r="R100"/>
    </row>
    <row r="101" spans="2:18" x14ac:dyDescent="0.35">
      <c r="B101" s="5" t="s">
        <v>238</v>
      </c>
      <c r="C101" s="15">
        <v>589.58839999999998</v>
      </c>
      <c r="E101" s="13" t="s">
        <v>239</v>
      </c>
      <c r="F101" s="12">
        <v>325</v>
      </c>
      <c r="G101" s="12">
        <v>375</v>
      </c>
      <c r="H101" s="12">
        <v>300</v>
      </c>
      <c r="I101" s="12">
        <v>375</v>
      </c>
      <c r="J101" s="12">
        <f t="shared" si="2"/>
        <v>325</v>
      </c>
      <c r="K101" s="12" t="s">
        <v>227</v>
      </c>
      <c r="L101" s="12"/>
      <c r="M101" s="12"/>
      <c r="N101" s="12"/>
      <c r="O101" s="12"/>
      <c r="P101" s="12"/>
      <c r="R101"/>
    </row>
    <row r="102" spans="2:18" x14ac:dyDescent="0.35">
      <c r="B102" s="5" t="s">
        <v>240</v>
      </c>
      <c r="C102" s="15">
        <v>12.2598</v>
      </c>
      <c r="E102" s="13" t="s">
        <v>241</v>
      </c>
      <c r="F102" s="12">
        <v>500</v>
      </c>
      <c r="G102" s="12">
        <v>575</v>
      </c>
      <c r="H102" s="12">
        <v>425</v>
      </c>
      <c r="I102" s="12">
        <v>575</v>
      </c>
      <c r="J102" s="12">
        <f t="shared" si="2"/>
        <v>500</v>
      </c>
      <c r="K102" s="12" t="s">
        <v>242</v>
      </c>
      <c r="L102" s="12"/>
      <c r="M102" s="12"/>
      <c r="N102" s="12"/>
      <c r="O102" s="12"/>
      <c r="P102" s="12"/>
      <c r="R102"/>
    </row>
    <row r="103" spans="2:18" x14ac:dyDescent="0.35">
      <c r="B103" s="5" t="s">
        <v>242</v>
      </c>
      <c r="C103" s="15">
        <v>1.8226</v>
      </c>
      <c r="E103" s="13" t="s">
        <v>243</v>
      </c>
      <c r="F103" s="12">
        <v>325</v>
      </c>
      <c r="G103" s="12">
        <v>375</v>
      </c>
      <c r="H103" s="12">
        <v>300</v>
      </c>
      <c r="I103" s="12">
        <v>375</v>
      </c>
      <c r="J103" s="12">
        <f t="shared" si="2"/>
        <v>325</v>
      </c>
      <c r="K103" s="12" t="s">
        <v>13</v>
      </c>
      <c r="L103" s="12"/>
      <c r="M103" s="12"/>
      <c r="N103" s="12" t="s">
        <v>244</v>
      </c>
      <c r="O103" s="12"/>
      <c r="P103" s="12"/>
      <c r="R103"/>
    </row>
    <row r="104" spans="2:18" x14ac:dyDescent="0.35">
      <c r="B104" s="5" t="s">
        <v>245</v>
      </c>
      <c r="C104" s="15">
        <v>11.812700000000001</v>
      </c>
      <c r="E104" s="13" t="s">
        <v>246</v>
      </c>
      <c r="F104" s="12">
        <v>325</v>
      </c>
      <c r="G104" s="12">
        <v>375</v>
      </c>
      <c r="H104" s="12">
        <v>300</v>
      </c>
      <c r="I104" s="12">
        <v>375</v>
      </c>
      <c r="J104" s="12">
        <f t="shared" si="2"/>
        <v>325</v>
      </c>
      <c r="K104" s="12" t="s">
        <v>13</v>
      </c>
      <c r="L104" s="12"/>
      <c r="M104" s="12"/>
      <c r="N104" s="12"/>
      <c r="O104" s="12"/>
      <c r="P104" s="12"/>
      <c r="R104"/>
    </row>
    <row r="105" spans="2:18" x14ac:dyDescent="0.35">
      <c r="B105" s="5" t="s">
        <v>247</v>
      </c>
      <c r="C105" s="15">
        <v>44.866</v>
      </c>
      <c r="E105" s="13" t="s">
        <v>248</v>
      </c>
      <c r="F105" s="12">
        <v>350</v>
      </c>
      <c r="G105" s="12">
        <v>400</v>
      </c>
      <c r="H105" s="12">
        <v>300</v>
      </c>
      <c r="I105" s="12">
        <v>400</v>
      </c>
      <c r="J105" s="12">
        <f t="shared" si="2"/>
        <v>350</v>
      </c>
      <c r="K105" s="12" t="s">
        <v>249</v>
      </c>
      <c r="L105" s="12"/>
      <c r="M105" s="12"/>
      <c r="N105" s="12"/>
      <c r="O105" s="12"/>
      <c r="P105" s="12"/>
      <c r="R105"/>
    </row>
    <row r="106" spans="2:18" x14ac:dyDescent="0.35">
      <c r="B106" s="5" t="s">
        <v>250</v>
      </c>
      <c r="C106" s="15">
        <v>15.27</v>
      </c>
      <c r="E106" s="13" t="s">
        <v>251</v>
      </c>
      <c r="F106" s="12">
        <v>275</v>
      </c>
      <c r="G106" s="12">
        <v>325</v>
      </c>
      <c r="H106" s="12">
        <v>250</v>
      </c>
      <c r="I106" s="12">
        <v>325</v>
      </c>
      <c r="J106" s="12">
        <f t="shared" si="2"/>
        <v>275</v>
      </c>
      <c r="K106" s="12" t="s">
        <v>163</v>
      </c>
      <c r="L106" s="12"/>
      <c r="M106" s="12"/>
      <c r="N106" s="12" t="s">
        <v>252</v>
      </c>
      <c r="O106" s="12"/>
      <c r="P106" s="12"/>
      <c r="R106"/>
    </row>
    <row r="107" spans="2:18" x14ac:dyDescent="0.35">
      <c r="B107" s="5" t="s">
        <v>253</v>
      </c>
      <c r="C107" s="15">
        <v>3.8862000000000001</v>
      </c>
      <c r="E107" s="13" t="s">
        <v>254</v>
      </c>
      <c r="F107" s="12">
        <v>350</v>
      </c>
      <c r="G107" s="12">
        <v>450</v>
      </c>
      <c r="H107" s="12">
        <v>300</v>
      </c>
      <c r="I107" s="12">
        <v>450</v>
      </c>
      <c r="J107" s="12">
        <f t="shared" si="2"/>
        <v>350</v>
      </c>
      <c r="K107" s="12" t="s">
        <v>13</v>
      </c>
      <c r="L107" s="12"/>
      <c r="M107" s="12"/>
      <c r="N107" s="12" t="s">
        <v>43</v>
      </c>
      <c r="O107" s="12"/>
      <c r="P107" s="12"/>
      <c r="R107"/>
    </row>
    <row r="108" spans="2:18" x14ac:dyDescent="0.35">
      <c r="B108" s="5" t="s">
        <v>255</v>
      </c>
      <c r="C108" s="15">
        <v>17.860600000000002</v>
      </c>
      <c r="E108" s="13" t="s">
        <v>256</v>
      </c>
      <c r="F108" s="12">
        <v>352.20238095238096</v>
      </c>
      <c r="G108" s="12">
        <v>421.90476190476193</v>
      </c>
      <c r="H108" s="12">
        <v>312.20238095238096</v>
      </c>
      <c r="I108" s="12">
        <v>421.90476190476193</v>
      </c>
      <c r="J108" s="12">
        <f t="shared" si="2"/>
        <v>352.20238095238096</v>
      </c>
      <c r="K108" s="12" t="s">
        <v>171</v>
      </c>
      <c r="L108" s="12"/>
      <c r="M108" s="12"/>
      <c r="N108" s="12"/>
      <c r="O108" s="12"/>
      <c r="P108" s="12"/>
      <c r="R108"/>
    </row>
    <row r="109" spans="2:18" x14ac:dyDescent="0.35">
      <c r="B109" s="5" t="s">
        <v>257</v>
      </c>
      <c r="C109" s="15">
        <v>9.1524000000000001</v>
      </c>
      <c r="E109" s="13" t="s">
        <v>258</v>
      </c>
      <c r="F109" s="12">
        <v>450</v>
      </c>
      <c r="G109" s="12">
        <v>550</v>
      </c>
      <c r="H109" s="12">
        <v>400</v>
      </c>
      <c r="I109" s="12">
        <v>550</v>
      </c>
      <c r="J109" s="12">
        <f t="shared" si="2"/>
        <v>450</v>
      </c>
      <c r="K109" s="12" t="s">
        <v>240</v>
      </c>
      <c r="L109" s="12"/>
      <c r="M109" s="12"/>
      <c r="N109" s="12" t="s">
        <v>259</v>
      </c>
      <c r="O109" s="12"/>
      <c r="P109" s="12"/>
      <c r="R109"/>
    </row>
    <row r="110" spans="2:18" x14ac:dyDescent="0.35">
      <c r="B110" s="5" t="s">
        <v>260</v>
      </c>
      <c r="C110" s="15">
        <v>37.451300000000003</v>
      </c>
      <c r="E110" s="13" t="s">
        <v>261</v>
      </c>
      <c r="F110" s="12">
        <v>450</v>
      </c>
      <c r="G110" s="12">
        <v>550</v>
      </c>
      <c r="H110" s="12">
        <v>400</v>
      </c>
      <c r="I110" s="12">
        <v>550</v>
      </c>
      <c r="J110" s="12">
        <f t="shared" si="2"/>
        <v>450</v>
      </c>
      <c r="K110" s="12" t="s">
        <v>90</v>
      </c>
      <c r="L110" s="12"/>
      <c r="M110" s="12"/>
      <c r="N110" s="12" t="s">
        <v>32</v>
      </c>
      <c r="O110" s="12" t="s">
        <v>51</v>
      </c>
      <c r="P110" s="12"/>
      <c r="R110"/>
    </row>
    <row r="111" spans="2:18" x14ac:dyDescent="0.35">
      <c r="B111" s="5" t="s">
        <v>262</v>
      </c>
      <c r="C111" s="15">
        <v>3109.5709999999999</v>
      </c>
      <c r="E111" s="13" t="s">
        <v>263</v>
      </c>
      <c r="F111" s="12">
        <v>275</v>
      </c>
      <c r="G111" s="12">
        <v>325</v>
      </c>
      <c r="H111" s="12">
        <v>250</v>
      </c>
      <c r="I111" s="12">
        <v>325</v>
      </c>
      <c r="J111" s="12">
        <f t="shared" si="2"/>
        <v>275</v>
      </c>
      <c r="K111" s="12" t="s">
        <v>260</v>
      </c>
      <c r="L111" s="12"/>
      <c r="M111" s="12"/>
      <c r="N111" s="12" t="s">
        <v>264</v>
      </c>
      <c r="O111" s="12"/>
      <c r="P111" s="12"/>
      <c r="R111"/>
    </row>
    <row r="112" spans="2:18" x14ac:dyDescent="0.35">
      <c r="B112" s="5" t="s">
        <v>265</v>
      </c>
      <c r="C112" s="15">
        <v>36.825700000000005</v>
      </c>
      <c r="E112" s="13" t="s">
        <v>266</v>
      </c>
      <c r="F112" s="12">
        <v>300</v>
      </c>
      <c r="G112" s="12">
        <v>350</v>
      </c>
      <c r="H112" s="12">
        <v>275</v>
      </c>
      <c r="I112" s="12">
        <v>350</v>
      </c>
      <c r="J112" s="12">
        <f t="shared" si="2"/>
        <v>300</v>
      </c>
      <c r="K112" s="12" t="s">
        <v>250</v>
      </c>
      <c r="L112" s="12"/>
      <c r="M112" s="12"/>
      <c r="N112" s="12"/>
      <c r="O112" s="12"/>
      <c r="P112" s="12"/>
      <c r="R112"/>
    </row>
    <row r="113" spans="2:18" x14ac:dyDescent="0.35">
      <c r="B113" s="5" t="s">
        <v>267</v>
      </c>
      <c r="C113" s="15">
        <v>4799.6500000000005</v>
      </c>
      <c r="E113" s="13" t="s">
        <v>268</v>
      </c>
      <c r="F113" s="12">
        <v>352.20238095238096</v>
      </c>
      <c r="G113" s="12">
        <v>421.90476190476193</v>
      </c>
      <c r="H113" s="12">
        <v>312.20238095238096</v>
      </c>
      <c r="I113" s="12">
        <v>421.90476190476193</v>
      </c>
      <c r="J113" s="12">
        <f t="shared" si="2"/>
        <v>352.20238095238096</v>
      </c>
      <c r="K113" s="12" t="s">
        <v>262</v>
      </c>
      <c r="L113" s="12"/>
      <c r="M113" s="12"/>
      <c r="N113" s="12"/>
      <c r="O113" s="12"/>
      <c r="P113" s="12"/>
      <c r="R113"/>
    </row>
    <row r="114" spans="2:18" x14ac:dyDescent="0.35">
      <c r="B114" s="5" t="s">
        <v>6</v>
      </c>
      <c r="C114" s="15">
        <v>1.3514000000000002</v>
      </c>
      <c r="E114" s="13" t="s">
        <v>269</v>
      </c>
      <c r="F114" s="12">
        <v>300</v>
      </c>
      <c r="G114" s="12">
        <v>350</v>
      </c>
      <c r="H114" s="12">
        <v>275</v>
      </c>
      <c r="I114" s="12">
        <v>350</v>
      </c>
      <c r="J114" s="12">
        <f t="shared" si="2"/>
        <v>300</v>
      </c>
      <c r="K114" s="12" t="s">
        <v>247</v>
      </c>
      <c r="L114" s="12"/>
      <c r="M114" s="12"/>
      <c r="N114" s="12" t="s">
        <v>270</v>
      </c>
      <c r="O114" s="12"/>
      <c r="P114" s="12"/>
      <c r="R114"/>
    </row>
    <row r="115" spans="2:18" x14ac:dyDescent="0.35">
      <c r="B115" s="5" t="s">
        <v>271</v>
      </c>
      <c r="C115" s="15">
        <v>60.272400000000005</v>
      </c>
      <c r="E115" s="13" t="s">
        <v>272</v>
      </c>
      <c r="F115" s="12">
        <v>352.20238095238096</v>
      </c>
      <c r="G115" s="12">
        <v>421.90476190476193</v>
      </c>
      <c r="H115" s="12">
        <v>312.20238095238096</v>
      </c>
      <c r="I115" s="12">
        <v>421.90476190476193</v>
      </c>
      <c r="J115" s="12">
        <f t="shared" si="2"/>
        <v>352.20238095238096</v>
      </c>
      <c r="K115" s="12" t="s">
        <v>257</v>
      </c>
      <c r="L115" s="12"/>
      <c r="M115" s="12"/>
      <c r="N115" s="12"/>
      <c r="O115" s="12"/>
      <c r="P115" s="12"/>
      <c r="R115"/>
    </row>
    <row r="116" spans="2:18" x14ac:dyDescent="0.35">
      <c r="B116" s="5" t="s">
        <v>273</v>
      </c>
      <c r="C116" s="15">
        <v>14600.39</v>
      </c>
      <c r="E116" s="13" t="s">
        <v>274</v>
      </c>
      <c r="F116" s="12">
        <v>300</v>
      </c>
      <c r="G116" s="12">
        <v>400</v>
      </c>
      <c r="H116" s="12">
        <v>275</v>
      </c>
      <c r="I116" s="12">
        <v>400</v>
      </c>
      <c r="J116" s="12">
        <f t="shared" si="2"/>
        <v>300</v>
      </c>
      <c r="K116" s="12" t="s">
        <v>253</v>
      </c>
      <c r="L116" s="12"/>
      <c r="M116" s="12"/>
      <c r="N116" s="12" t="s">
        <v>31</v>
      </c>
      <c r="O116" s="12" t="s">
        <v>32</v>
      </c>
      <c r="P116" s="12"/>
      <c r="R116"/>
    </row>
    <row r="117" spans="2:18" x14ac:dyDescent="0.35">
      <c r="B117" s="5" t="s">
        <v>275</v>
      </c>
      <c r="C117" s="15">
        <v>6.1962000000000002</v>
      </c>
      <c r="E117" s="13" t="s">
        <v>276</v>
      </c>
      <c r="F117" s="12">
        <v>300</v>
      </c>
      <c r="G117" s="12">
        <v>350</v>
      </c>
      <c r="H117" s="12">
        <v>275</v>
      </c>
      <c r="I117" s="12">
        <v>350</v>
      </c>
      <c r="J117" s="12">
        <f t="shared" si="2"/>
        <v>300</v>
      </c>
      <c r="K117" s="12" t="s">
        <v>255</v>
      </c>
      <c r="L117" s="12"/>
      <c r="M117" s="12"/>
      <c r="N117" s="12"/>
      <c r="O117" s="12"/>
      <c r="P117" s="12"/>
      <c r="R117"/>
    </row>
    <row r="118" spans="2:18" x14ac:dyDescent="0.35">
      <c r="B118" s="5" t="s">
        <v>277</v>
      </c>
      <c r="C118" s="15">
        <v>30846</v>
      </c>
      <c r="E118" s="13" t="s">
        <v>278</v>
      </c>
      <c r="F118" s="12">
        <v>420</v>
      </c>
      <c r="G118" s="12">
        <v>500</v>
      </c>
      <c r="H118" s="12">
        <v>375</v>
      </c>
      <c r="I118" s="12">
        <v>500</v>
      </c>
      <c r="J118" s="12">
        <f t="shared" si="2"/>
        <v>420</v>
      </c>
      <c r="K118" s="12" t="s">
        <v>28</v>
      </c>
      <c r="L118" s="12"/>
      <c r="M118" s="12"/>
      <c r="N118" s="12" t="s">
        <v>31</v>
      </c>
      <c r="O118" s="12"/>
      <c r="P118" s="12"/>
      <c r="R118"/>
    </row>
    <row r="119" spans="2:18" x14ac:dyDescent="0.35">
      <c r="B119" s="5" t="s">
        <v>279</v>
      </c>
      <c r="C119" s="15">
        <v>781.36599999999999</v>
      </c>
      <c r="E119" s="13" t="s">
        <v>280</v>
      </c>
      <c r="F119" s="12">
        <v>352.20238095238096</v>
      </c>
      <c r="G119" s="12">
        <v>421.90476190476193</v>
      </c>
      <c r="H119" s="12">
        <v>312.20238095238096</v>
      </c>
      <c r="I119" s="12">
        <v>421.90476190476193</v>
      </c>
      <c r="J119" s="12">
        <f t="shared" si="2"/>
        <v>352.20238095238096</v>
      </c>
      <c r="K119" s="12" t="s">
        <v>267</v>
      </c>
      <c r="L119" s="12"/>
      <c r="M119" s="12"/>
      <c r="N119" s="12"/>
      <c r="O119" s="12"/>
      <c r="P119" s="12"/>
      <c r="R119"/>
    </row>
    <row r="120" spans="2:18" x14ac:dyDescent="0.35">
      <c r="B120" s="5" t="s">
        <v>281</v>
      </c>
      <c r="C120" s="15">
        <v>3.6488</v>
      </c>
      <c r="E120" s="13" t="s">
        <v>282</v>
      </c>
      <c r="F120" s="12">
        <v>350</v>
      </c>
      <c r="G120" s="12">
        <v>450</v>
      </c>
      <c r="H120" s="12">
        <v>300</v>
      </c>
      <c r="I120" s="12">
        <v>450</v>
      </c>
      <c r="J120" s="12">
        <f t="shared" si="2"/>
        <v>350</v>
      </c>
      <c r="K120" s="12" t="s">
        <v>11</v>
      </c>
      <c r="L120" s="12"/>
      <c r="M120" s="12"/>
      <c r="N120" s="12"/>
      <c r="O120" s="12"/>
      <c r="P120" s="12"/>
      <c r="R120"/>
    </row>
    <row r="121" spans="2:18" x14ac:dyDescent="0.35">
      <c r="B121" s="5" t="s">
        <v>159</v>
      </c>
      <c r="C121" s="15">
        <v>785.46070000000009</v>
      </c>
      <c r="E121" s="13" t="s">
        <v>283</v>
      </c>
      <c r="F121" s="12">
        <v>350</v>
      </c>
      <c r="G121" s="12">
        <v>450</v>
      </c>
      <c r="H121" s="12">
        <v>300</v>
      </c>
      <c r="I121" s="12">
        <v>450</v>
      </c>
      <c r="J121" s="12">
        <f t="shared" si="2"/>
        <v>350</v>
      </c>
      <c r="K121" s="12" t="s">
        <v>265</v>
      </c>
      <c r="L121" s="12"/>
      <c r="M121" s="12"/>
      <c r="N121" s="12"/>
      <c r="O121" s="12"/>
      <c r="P121" s="12"/>
      <c r="R121"/>
    </row>
    <row r="122" spans="2:18" x14ac:dyDescent="0.35">
      <c r="B122" s="5" t="s">
        <v>249</v>
      </c>
      <c r="C122" s="15">
        <v>21.593800000000002</v>
      </c>
      <c r="E122" s="13" t="s">
        <v>284</v>
      </c>
      <c r="F122" s="12">
        <v>275</v>
      </c>
      <c r="G122" s="12">
        <v>325</v>
      </c>
      <c r="H122" s="12">
        <v>250</v>
      </c>
      <c r="I122" s="12">
        <v>325</v>
      </c>
      <c r="J122" s="12">
        <f t="shared" si="2"/>
        <v>275</v>
      </c>
      <c r="K122" s="12" t="s">
        <v>271</v>
      </c>
      <c r="L122" s="12"/>
      <c r="M122" s="12"/>
      <c r="N122" s="12" t="s">
        <v>43</v>
      </c>
      <c r="O122" s="12"/>
      <c r="P122" s="12"/>
      <c r="R122"/>
    </row>
    <row r="123" spans="2:18" x14ac:dyDescent="0.35">
      <c r="B123" s="5" t="s">
        <v>285</v>
      </c>
      <c r="C123" s="15">
        <v>22.491500000000002</v>
      </c>
      <c r="E123" s="13" t="s">
        <v>286</v>
      </c>
      <c r="F123" s="12">
        <v>475</v>
      </c>
      <c r="G123" s="12">
        <v>525</v>
      </c>
      <c r="H123" s="12">
        <v>400</v>
      </c>
      <c r="I123" s="12">
        <v>525</v>
      </c>
      <c r="J123" s="12">
        <f t="shared" si="2"/>
        <v>475</v>
      </c>
      <c r="K123" s="12" t="s">
        <v>6</v>
      </c>
      <c r="L123" s="12"/>
      <c r="M123" s="12"/>
      <c r="N123" s="12"/>
      <c r="O123" s="12"/>
      <c r="P123" s="12"/>
      <c r="R123"/>
    </row>
    <row r="124" spans="2:18" x14ac:dyDescent="0.35">
      <c r="B124" s="5" t="s">
        <v>287</v>
      </c>
      <c r="C124" s="15">
        <v>143.17947860000001</v>
      </c>
      <c r="E124" s="13" t="s">
        <v>288</v>
      </c>
      <c r="F124" s="12">
        <v>475</v>
      </c>
      <c r="G124" s="12">
        <v>525</v>
      </c>
      <c r="H124" s="12">
        <v>400</v>
      </c>
      <c r="I124" s="12">
        <v>525</v>
      </c>
      <c r="J124" s="12">
        <f>F124</f>
        <v>475</v>
      </c>
      <c r="K124" s="12" t="s">
        <v>6</v>
      </c>
      <c r="L124" s="12"/>
      <c r="M124" s="12"/>
      <c r="N124" s="12"/>
      <c r="O124" s="12"/>
      <c r="P124" s="12"/>
      <c r="R124"/>
    </row>
    <row r="125" spans="2:18" x14ac:dyDescent="0.35">
      <c r="E125" s="13" t="s">
        <v>289</v>
      </c>
      <c r="F125" s="12">
        <v>475</v>
      </c>
      <c r="G125" s="12">
        <v>525</v>
      </c>
      <c r="H125" s="12">
        <v>400</v>
      </c>
      <c r="I125" s="12">
        <v>525</v>
      </c>
      <c r="J125" s="12">
        <f>F125</f>
        <v>475</v>
      </c>
      <c r="K125" s="12" t="s">
        <v>6</v>
      </c>
      <c r="L125" s="12"/>
      <c r="M125" s="12"/>
      <c r="N125" s="12"/>
      <c r="O125" s="12"/>
      <c r="P125" s="12"/>
      <c r="R125"/>
    </row>
    <row r="126" spans="2:18" x14ac:dyDescent="0.35">
      <c r="E126" s="13" t="s">
        <v>290</v>
      </c>
      <c r="F126" s="12">
        <v>475</v>
      </c>
      <c r="G126" s="12">
        <v>525</v>
      </c>
      <c r="H126" s="12">
        <v>400</v>
      </c>
      <c r="I126" s="12">
        <v>525</v>
      </c>
      <c r="J126" s="12">
        <f>F126</f>
        <v>475</v>
      </c>
      <c r="K126" s="12" t="s">
        <v>6</v>
      </c>
      <c r="L126" s="12"/>
      <c r="M126" s="12"/>
      <c r="N126" s="12"/>
      <c r="O126" s="12"/>
      <c r="P126" s="12"/>
      <c r="R126"/>
    </row>
    <row r="127" spans="2:18" x14ac:dyDescent="0.35">
      <c r="E127" s="13" t="s">
        <v>291</v>
      </c>
      <c r="F127" s="12">
        <v>475</v>
      </c>
      <c r="G127" s="12">
        <v>525</v>
      </c>
      <c r="H127" s="12">
        <v>400</v>
      </c>
      <c r="I127" s="12">
        <v>525</v>
      </c>
      <c r="J127" s="12">
        <f>F127</f>
        <v>475</v>
      </c>
      <c r="K127" s="12" t="s">
        <v>6</v>
      </c>
      <c r="L127" s="12"/>
      <c r="M127" s="12"/>
      <c r="N127" s="12"/>
      <c r="O127" s="12"/>
      <c r="P127" s="12"/>
      <c r="R127"/>
    </row>
    <row r="128" spans="2:18" x14ac:dyDescent="0.35">
      <c r="E128" s="13" t="s">
        <v>292</v>
      </c>
      <c r="F128" s="12">
        <v>475</v>
      </c>
      <c r="G128" s="12">
        <v>525</v>
      </c>
      <c r="H128" s="12">
        <v>400</v>
      </c>
      <c r="I128" s="12">
        <v>525</v>
      </c>
      <c r="J128" s="12">
        <f>F128</f>
        <v>475</v>
      </c>
      <c r="K128" s="12" t="s">
        <v>6</v>
      </c>
      <c r="L128" s="12"/>
      <c r="M128" s="12"/>
      <c r="N128" s="12"/>
      <c r="O128" s="12"/>
      <c r="P128" s="12"/>
      <c r="R128"/>
    </row>
    <row r="129" spans="5:18" x14ac:dyDescent="0.35">
      <c r="E129" s="13" t="s">
        <v>293</v>
      </c>
      <c r="F129" s="12">
        <v>325</v>
      </c>
      <c r="G129" s="12">
        <v>375</v>
      </c>
      <c r="H129" s="12">
        <v>300</v>
      </c>
      <c r="I129" s="12">
        <v>375</v>
      </c>
      <c r="J129" s="12">
        <f t="shared" si="2"/>
        <v>325</v>
      </c>
      <c r="K129" s="12" t="s">
        <v>277</v>
      </c>
      <c r="L129" s="12"/>
      <c r="M129" s="12"/>
      <c r="N129" s="12" t="s">
        <v>294</v>
      </c>
      <c r="O129" s="12"/>
      <c r="P129" s="12"/>
      <c r="R129"/>
    </row>
    <row r="130" spans="5:18" x14ac:dyDescent="0.35">
      <c r="E130" s="13" t="s">
        <v>295</v>
      </c>
      <c r="F130" s="12">
        <v>352.20238095238096</v>
      </c>
      <c r="G130" s="12">
        <v>421.90476190476193</v>
      </c>
      <c r="H130" s="12">
        <v>312.20238095238096</v>
      </c>
      <c r="I130" s="12">
        <v>421.90476190476193</v>
      </c>
      <c r="J130" s="12">
        <f t="shared" si="2"/>
        <v>352.20238095238096</v>
      </c>
      <c r="K130" s="12" t="s">
        <v>285</v>
      </c>
      <c r="L130" s="12"/>
      <c r="M130" s="12"/>
      <c r="N130" s="12"/>
      <c r="O130" s="12"/>
      <c r="P130" s="12"/>
      <c r="R130"/>
    </row>
    <row r="131" spans="5:18" x14ac:dyDescent="0.35">
      <c r="E131" s="13" t="s">
        <v>296</v>
      </c>
      <c r="F131" s="12">
        <v>352.20238095238096</v>
      </c>
      <c r="G131" s="12">
        <v>421.90476190476193</v>
      </c>
      <c r="H131" s="12">
        <v>312.20238095238096</v>
      </c>
      <c r="I131" s="12">
        <v>421.90476190476193</v>
      </c>
      <c r="J131" s="12">
        <f t="shared" si="2"/>
        <v>352.20238095238096</v>
      </c>
      <c r="K131" s="12" t="s">
        <v>103</v>
      </c>
      <c r="L131" s="12"/>
      <c r="M131" s="12"/>
      <c r="N131" s="12"/>
      <c r="O131" s="12"/>
      <c r="P131" s="12"/>
      <c r="R131"/>
    </row>
    <row r="132" spans="5:18" x14ac:dyDescent="0.35">
      <c r="E132" s="13" t="s">
        <v>297</v>
      </c>
      <c r="F132" s="12">
        <v>352.20238095238096</v>
      </c>
      <c r="G132" s="12">
        <v>421.90476190476193</v>
      </c>
      <c r="H132" s="12">
        <v>312.20238095238096</v>
      </c>
      <c r="I132" s="12">
        <v>421.90476190476193</v>
      </c>
      <c r="J132" s="12">
        <f t="shared" si="2"/>
        <v>352.20238095238096</v>
      </c>
      <c r="K132" s="12" t="s">
        <v>298</v>
      </c>
      <c r="L132" s="12"/>
      <c r="M132" s="12"/>
      <c r="N132" s="12" t="s">
        <v>43</v>
      </c>
      <c r="O132" s="12"/>
      <c r="P132" s="12"/>
    </row>
    <row r="133" spans="5:18" x14ac:dyDescent="0.35">
      <c r="E133" s="13" t="s">
        <v>299</v>
      </c>
      <c r="F133" s="12">
        <v>352.20238095238096</v>
      </c>
      <c r="G133" s="12">
        <v>421.90476190476193</v>
      </c>
      <c r="H133" s="12">
        <v>312.20238095238096</v>
      </c>
      <c r="I133" s="12">
        <v>421.90476190476193</v>
      </c>
      <c r="J133" s="12">
        <f t="shared" si="2"/>
        <v>352.20238095238096</v>
      </c>
      <c r="K133" s="12" t="s">
        <v>300</v>
      </c>
      <c r="L133" s="12"/>
      <c r="M133" s="12"/>
      <c r="N133" s="12"/>
      <c r="O133" s="12"/>
      <c r="P133" s="12"/>
    </row>
    <row r="134" spans="5:18" x14ac:dyDescent="0.35">
      <c r="E134" s="13" t="s">
        <v>301</v>
      </c>
      <c r="F134" s="12">
        <v>300</v>
      </c>
      <c r="G134" s="12">
        <v>400</v>
      </c>
      <c r="H134" s="12">
        <v>275</v>
      </c>
      <c r="I134" s="12">
        <v>400</v>
      </c>
      <c r="J134" s="12">
        <f t="shared" si="2"/>
        <v>300</v>
      </c>
      <c r="K134" s="12" t="s">
        <v>174</v>
      </c>
      <c r="L134" s="12"/>
      <c r="M134" s="12"/>
      <c r="N134" s="12"/>
      <c r="O134" s="12"/>
      <c r="P134" s="12"/>
    </row>
    <row r="135" spans="5:18" x14ac:dyDescent="0.35">
      <c r="E135" s="13" t="s">
        <v>302</v>
      </c>
      <c r="F135" s="12">
        <v>352.20238095238096</v>
      </c>
      <c r="G135" s="12">
        <v>421.90476190476193</v>
      </c>
      <c r="H135" s="12">
        <v>312.20238095238096</v>
      </c>
      <c r="I135" s="12">
        <v>421.90476190476193</v>
      </c>
      <c r="J135" s="12">
        <f>F135</f>
        <v>352.20238095238096</v>
      </c>
      <c r="K135" s="12" t="s">
        <v>123</v>
      </c>
      <c r="L135" s="12"/>
      <c r="M135" s="12"/>
      <c r="N135" s="12"/>
      <c r="O135" s="12"/>
      <c r="P135" s="12"/>
    </row>
    <row r="136" spans="5:18" x14ac:dyDescent="0.35">
      <c r="E136" s="13" t="s">
        <v>303</v>
      </c>
      <c r="F136" s="12">
        <f>AVERAGE(F$40,F$90,F$122)</f>
        <v>326.46825396825398</v>
      </c>
      <c r="G136" s="12">
        <f>AVERAGE(G$40,G$90,G$122)</f>
        <v>389.60317460317464</v>
      </c>
      <c r="H136" s="12">
        <f>AVERAGE(H$40,H$90,H$122)</f>
        <v>291.46825396825398</v>
      </c>
      <c r="I136" s="12">
        <f>AVERAGE(I$40,I$90,I$122)</f>
        <v>389.60317460317464</v>
      </c>
      <c r="J136" s="12">
        <f>AVERAGE(J$40,J$90,J$122)</f>
        <v>326.46825396825398</v>
      </c>
      <c r="K136" s="12" t="s">
        <v>217</v>
      </c>
      <c r="L136" s="12" t="s">
        <v>271</v>
      </c>
      <c r="M136" s="12"/>
      <c r="N136" s="12" t="s">
        <v>43</v>
      </c>
      <c r="O136" s="12"/>
      <c r="P136" s="12"/>
    </row>
  </sheetData>
  <sheetProtection formatRows="0"/>
  <phoneticPr fontId="9" type="noConversion"/>
  <pageMargins left="0.35433070866141736" right="0.19685039370078741" top="0.27559055118110237" bottom="0.19685039370078741" header="0.51181102362204722" footer="0.51181102362204722"/>
  <pageSetup paperSize="9" scale="26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6D6F6-479A-4D79-8EB9-0188977D32AB}">
  <sheetPr codeName="Sheet5">
    <tabColor theme="9"/>
    <pageSetUpPr fitToPage="1"/>
  </sheetPr>
  <dimension ref="A1:I70"/>
  <sheetViews>
    <sheetView showGridLines="0" tabSelected="1" view="pageBreakPreview" zoomScale="85" zoomScaleNormal="85" zoomScaleSheetLayoutView="85" workbookViewId="0">
      <selection activeCell="D50" sqref="D50"/>
    </sheetView>
  </sheetViews>
  <sheetFormatPr defaultColWidth="0" defaultRowHeight="12.5" zeroHeight="1" x14ac:dyDescent="0.35"/>
  <cols>
    <col min="1" max="1" width="3.6328125" style="17" customWidth="1"/>
    <col min="2" max="2" width="30.6328125" style="17" customWidth="1"/>
    <col min="3" max="3" width="12" style="17" customWidth="1"/>
    <col min="4" max="4" width="30.6328125" style="17" customWidth="1"/>
    <col min="5" max="5" width="3.453125" style="17" bestFit="1" customWidth="1"/>
    <col min="6" max="6" width="44.453125" style="17" customWidth="1"/>
    <col min="7" max="7" width="3.6328125" style="17" customWidth="1"/>
    <col min="8" max="9" width="0" style="17" hidden="1" customWidth="1"/>
    <col min="10" max="16384" width="9.1796875" style="17" hidden="1"/>
  </cols>
  <sheetData>
    <row r="1" spans="2:6" x14ac:dyDescent="0.35"/>
    <row r="2" spans="2:6" x14ac:dyDescent="0.35"/>
    <row r="3" spans="2:6" ht="13" x14ac:dyDescent="0.35">
      <c r="B3" s="18" t="s">
        <v>304</v>
      </c>
      <c r="C3" s="19"/>
      <c r="D3" s="19"/>
      <c r="E3" s="19"/>
      <c r="F3" s="19"/>
    </row>
    <row r="4" spans="2:6" ht="13" x14ac:dyDescent="0.35">
      <c r="B4" s="36"/>
      <c r="C4" s="37"/>
      <c r="D4" s="37"/>
      <c r="E4" s="37"/>
      <c r="F4" s="37"/>
    </row>
    <row r="5" spans="2:6" ht="13" x14ac:dyDescent="0.35">
      <c r="B5" s="20" t="s">
        <v>305</v>
      </c>
      <c r="C5" s="37"/>
      <c r="D5" s="37"/>
      <c r="E5" s="37"/>
      <c r="F5" s="38"/>
    </row>
    <row r="6" spans="2:6" ht="5" customHeight="1" x14ac:dyDescent="0.35">
      <c r="B6" s="20"/>
      <c r="C6" s="37"/>
      <c r="D6" s="37"/>
      <c r="E6" s="37"/>
      <c r="F6" s="37"/>
    </row>
    <row r="7" spans="2:6" ht="13" x14ac:dyDescent="0.35">
      <c r="B7" s="20" t="s">
        <v>306</v>
      </c>
      <c r="C7" s="37"/>
      <c r="D7" s="37"/>
      <c r="E7" s="37"/>
      <c r="F7" s="38" t="s">
        <v>338</v>
      </c>
    </row>
    <row r="8" spans="2:6" ht="5" customHeight="1" x14ac:dyDescent="0.35">
      <c r="B8" s="20"/>
      <c r="C8" s="37"/>
      <c r="D8" s="37"/>
      <c r="E8" s="37"/>
      <c r="F8" s="37"/>
    </row>
    <row r="9" spans="2:6" ht="13" x14ac:dyDescent="0.35">
      <c r="B9" s="20" t="s">
        <v>307</v>
      </c>
      <c r="C9" s="37"/>
      <c r="D9" s="37"/>
      <c r="E9" s="37"/>
      <c r="F9" s="38" t="s">
        <v>339</v>
      </c>
    </row>
    <row r="10" spans="2:6" ht="5" customHeight="1" x14ac:dyDescent="0.35">
      <c r="B10" s="20"/>
      <c r="C10" s="37"/>
      <c r="D10" s="37"/>
      <c r="E10" s="37"/>
      <c r="F10" s="37"/>
    </row>
    <row r="11" spans="2:6" ht="13" x14ac:dyDescent="0.35">
      <c r="B11" s="20" t="s">
        <v>19</v>
      </c>
      <c r="C11" s="37"/>
      <c r="E11" s="37"/>
      <c r="F11" s="38" t="s">
        <v>286</v>
      </c>
    </row>
    <row r="12" spans="2:6" ht="5" customHeight="1" x14ac:dyDescent="0.35">
      <c r="B12" s="20"/>
      <c r="C12" s="37"/>
      <c r="D12" s="37"/>
      <c r="E12" s="37"/>
      <c r="F12" s="37"/>
    </row>
    <row r="13" spans="2:6" ht="14.5" x14ac:dyDescent="0.35">
      <c r="B13" s="20" t="s">
        <v>308</v>
      </c>
      <c r="D13" s="42" t="s">
        <v>309</v>
      </c>
      <c r="F13" s="43">
        <v>39.179328918457003</v>
      </c>
    </row>
    <row r="14" spans="2:6" ht="5" customHeight="1" x14ac:dyDescent="0.35">
      <c r="B14" s="20"/>
      <c r="C14" s="37"/>
      <c r="E14" s="37"/>
      <c r="F14" s="37"/>
    </row>
    <row r="15" spans="2:6" ht="14" x14ac:dyDescent="0.35">
      <c r="B15" s="20" t="s">
        <v>310</v>
      </c>
      <c r="F15" s="43">
        <v>-75.552902221679602</v>
      </c>
    </row>
    <row r="16" spans="2:6" ht="5" customHeight="1" x14ac:dyDescent="0.35">
      <c r="B16" s="20"/>
      <c r="C16" s="37"/>
      <c r="D16" s="37"/>
      <c r="E16" s="37"/>
      <c r="F16" s="37"/>
    </row>
    <row r="17" spans="1:7" ht="13" x14ac:dyDescent="0.35">
      <c r="B17" s="20" t="s">
        <v>311</v>
      </c>
      <c r="C17" s="37"/>
      <c r="D17" s="37"/>
      <c r="E17" s="37"/>
      <c r="F17" s="44" t="s">
        <v>312</v>
      </c>
    </row>
    <row r="18" spans="1:7" x14ac:dyDescent="0.35"/>
    <row r="19" spans="1:7" ht="13" x14ac:dyDescent="0.35">
      <c r="B19" s="18" t="s">
        <v>313</v>
      </c>
      <c r="C19" s="19"/>
      <c r="D19" s="19"/>
      <c r="E19" s="19"/>
      <c r="F19" s="19"/>
    </row>
    <row r="20" spans="1:7" x14ac:dyDescent="0.35"/>
    <row r="21" spans="1:7" x14ac:dyDescent="0.35">
      <c r="B21" s="20" t="s">
        <v>314</v>
      </c>
    </row>
    <row r="22" spans="1:7" x14ac:dyDescent="0.35">
      <c r="B22" s="20"/>
    </row>
    <row r="23" spans="1:7" x14ac:dyDescent="0.35">
      <c r="B23" s="20" t="s">
        <v>315</v>
      </c>
      <c r="F23" s="21">
        <v>3</v>
      </c>
    </row>
    <row r="24" spans="1:7" x14ac:dyDescent="0.35"/>
    <row r="25" spans="1:7" ht="13" x14ac:dyDescent="0.35">
      <c r="B25" s="18" t="s">
        <v>316</v>
      </c>
      <c r="C25" s="19"/>
      <c r="D25" s="19"/>
      <c r="E25" s="19"/>
      <c r="F25" s="19"/>
    </row>
    <row r="26" spans="1:7" x14ac:dyDescent="0.35"/>
    <row r="27" spans="1:7" ht="13.5" thickBot="1" x14ac:dyDescent="0.4">
      <c r="B27" s="22" t="s">
        <v>317</v>
      </c>
      <c r="C27" s="23"/>
      <c r="D27" s="23"/>
      <c r="E27" s="23"/>
      <c r="F27" s="23"/>
    </row>
    <row r="28" spans="1:7" ht="8" customHeight="1" x14ac:dyDescent="0.35"/>
    <row r="29" spans="1:7" s="31" customFormat="1" ht="13" x14ac:dyDescent="0.35">
      <c r="A29" s="17"/>
      <c r="B29" s="24" t="s">
        <v>318</v>
      </c>
      <c r="C29" s="17"/>
      <c r="D29" s="25" t="s">
        <v>319</v>
      </c>
      <c r="E29" s="17"/>
      <c r="F29" s="30">
        <v>12000</v>
      </c>
      <c r="G29" s="17"/>
    </row>
    <row r="30" spans="1:7" ht="13" x14ac:dyDescent="0.35">
      <c r="B30" s="24"/>
      <c r="D30" s="25"/>
    </row>
    <row r="31" spans="1:7" s="31" customFormat="1" ht="13" x14ac:dyDescent="0.35">
      <c r="A31" s="17"/>
      <c r="B31" s="24" t="s">
        <v>320</v>
      </c>
      <c r="C31" s="17"/>
      <c r="D31" s="25"/>
      <c r="E31" s="17"/>
      <c r="F31" s="17"/>
      <c r="G31" s="17"/>
    </row>
    <row r="32" spans="1:7" ht="13" x14ac:dyDescent="0.35">
      <c r="B32" s="24"/>
      <c r="D32" s="25"/>
    </row>
    <row r="33" spans="1:7" s="31" customFormat="1" ht="13" x14ac:dyDescent="0.35">
      <c r="A33" s="17"/>
      <c r="B33" s="24" t="s">
        <v>321</v>
      </c>
      <c r="C33" s="17"/>
      <c r="D33" s="34" t="s">
        <v>322</v>
      </c>
      <c r="E33" s="17"/>
      <c r="F33" s="26">
        <v>0.15</v>
      </c>
      <c r="G33" s="17"/>
    </row>
    <row r="34" spans="1:7" ht="13" x14ac:dyDescent="0.35">
      <c r="B34" s="24"/>
      <c r="D34" s="34"/>
      <c r="F34" s="35"/>
    </row>
    <row r="35" spans="1:7" ht="13.5" thickBot="1" x14ac:dyDescent="0.4">
      <c r="B35" s="22" t="s">
        <v>323</v>
      </c>
      <c r="C35" s="23"/>
      <c r="D35" s="28"/>
      <c r="E35" s="23"/>
      <c r="F35" s="23"/>
    </row>
    <row r="36" spans="1:7" ht="8" customHeight="1" x14ac:dyDescent="0.35">
      <c r="B36" s="20"/>
      <c r="D36" s="29"/>
    </row>
    <row r="37" spans="1:7" s="31" customFormat="1" ht="13" x14ac:dyDescent="0.35">
      <c r="A37" s="17"/>
      <c r="B37" s="24" t="s">
        <v>324</v>
      </c>
      <c r="C37" s="9"/>
      <c r="D37" s="34" t="s">
        <v>325</v>
      </c>
      <c r="E37" s="9"/>
      <c r="F37" s="32">
        <v>24</v>
      </c>
      <c r="G37" s="17"/>
    </row>
    <row r="38" spans="1:7" s="31" customFormat="1" ht="13" x14ac:dyDescent="0.35">
      <c r="A38" s="17"/>
      <c r="B38" s="24" t="s">
        <v>326</v>
      </c>
      <c r="C38" s="9"/>
      <c r="D38" s="34" t="s">
        <v>327</v>
      </c>
      <c r="E38" s="9"/>
      <c r="F38" s="30">
        <v>10</v>
      </c>
      <c r="G38" s="17"/>
    </row>
    <row r="39" spans="1:7" ht="8" customHeight="1" x14ac:dyDescent="0.35">
      <c r="B39" s="24"/>
      <c r="D39" s="25"/>
    </row>
    <row r="40" spans="1:7" ht="13.5" thickBot="1" x14ac:dyDescent="0.4">
      <c r="B40" s="22" t="s">
        <v>328</v>
      </c>
      <c r="C40" s="23"/>
      <c r="D40" s="28"/>
      <c r="E40" s="23"/>
      <c r="F40" s="23"/>
    </row>
    <row r="41" spans="1:7" ht="8" customHeight="1" x14ac:dyDescent="0.35">
      <c r="B41" s="20"/>
      <c r="C41" s="9"/>
      <c r="D41" s="27"/>
      <c r="E41" s="9"/>
    </row>
    <row r="42" spans="1:7" s="33" customFormat="1" ht="13" x14ac:dyDescent="0.35">
      <c r="A42" s="17"/>
      <c r="B42" s="24" t="s">
        <v>329</v>
      </c>
      <c r="C42" s="9"/>
      <c r="D42" s="34" t="s">
        <v>325</v>
      </c>
      <c r="E42" s="9"/>
      <c r="F42" s="32"/>
      <c r="G42" s="17"/>
    </row>
    <row r="43" spans="1:7" ht="8" customHeight="1" x14ac:dyDescent="0.35">
      <c r="B43" s="24"/>
      <c r="D43" s="27"/>
    </row>
    <row r="44" spans="1:7" x14ac:dyDescent="0.35"/>
    <row r="45" spans="1:7" ht="13.5" thickBot="1" x14ac:dyDescent="0.4">
      <c r="B45" s="22" t="s">
        <v>330</v>
      </c>
      <c r="C45" s="23"/>
      <c r="D45" s="28"/>
      <c r="E45" s="23"/>
      <c r="F45" s="23"/>
    </row>
    <row r="46" spans="1:7" ht="8" customHeight="1" x14ac:dyDescent="0.35">
      <c r="B46" s="20"/>
      <c r="C46" s="9"/>
      <c r="D46" s="27"/>
      <c r="E46" s="9"/>
    </row>
    <row r="47" spans="1:7" ht="13" x14ac:dyDescent="0.35">
      <c r="B47" s="24" t="s">
        <v>331</v>
      </c>
      <c r="C47" s="9"/>
      <c r="D47" s="34" t="s">
        <v>332</v>
      </c>
      <c r="E47" s="9"/>
      <c r="F47" s="30">
        <v>6</v>
      </c>
    </row>
    <row r="48" spans="1:7" ht="13" x14ac:dyDescent="0.35">
      <c r="B48" s="24" t="s">
        <v>333</v>
      </c>
      <c r="C48" s="9"/>
      <c r="D48" s="34" t="s">
        <v>332</v>
      </c>
      <c r="E48" s="9"/>
      <c r="F48" s="30">
        <v>6</v>
      </c>
    </row>
    <row r="49" spans="2:7" x14ac:dyDescent="0.35"/>
    <row r="50" spans="2:7" ht="13.5" thickBot="1" x14ac:dyDescent="0.4">
      <c r="B50" s="22" t="s">
        <v>334</v>
      </c>
      <c r="C50" s="23"/>
      <c r="D50" s="28"/>
      <c r="E50" s="23"/>
      <c r="F50" s="23"/>
    </row>
    <row r="51" spans="2:7" ht="8" customHeight="1" x14ac:dyDescent="0.35">
      <c r="B51" s="20"/>
      <c r="C51" s="9"/>
      <c r="D51" s="27"/>
      <c r="E51" s="9"/>
    </row>
    <row r="52" spans="2:7" ht="14.5" x14ac:dyDescent="0.35">
      <c r="B52" s="24" t="s">
        <v>335</v>
      </c>
      <c r="F52" s="30" t="s">
        <v>34</v>
      </c>
      <c r="G52" s="39"/>
    </row>
    <row r="53" spans="2:7" x14ac:dyDescent="0.35">
      <c r="B53" s="24"/>
    </row>
    <row r="54" spans="2:7" x14ac:dyDescent="0.35">
      <c r="B54" s="24" t="s">
        <v>336</v>
      </c>
      <c r="F54" s="30" t="s">
        <v>5</v>
      </c>
    </row>
    <row r="55" spans="2:7" x14ac:dyDescent="0.35">
      <c r="B55" s="24"/>
    </row>
    <row r="56" spans="2:7" x14ac:dyDescent="0.35">
      <c r="B56" s="24" t="s">
        <v>337</v>
      </c>
      <c r="F56" s="30">
        <v>2</v>
      </c>
    </row>
    <row r="57" spans="2:7" x14ac:dyDescent="0.35"/>
    <row r="58" spans="2:7" x14ac:dyDescent="0.35"/>
    <row r="59" spans="2:7" x14ac:dyDescent="0.35"/>
    <row r="60" spans="2:7" x14ac:dyDescent="0.35"/>
    <row r="61" spans="2:7" x14ac:dyDescent="0.35"/>
    <row r="62" spans="2:7" x14ac:dyDescent="0.35"/>
    <row r="63" spans="2:7" x14ac:dyDescent="0.35"/>
    <row r="64" spans="2:7" x14ac:dyDescent="0.35"/>
    <row r="65" x14ac:dyDescent="0.35"/>
    <row r="66" x14ac:dyDescent="0.35"/>
    <row r="67" x14ac:dyDescent="0.35"/>
    <row r="68" x14ac:dyDescent="0.35"/>
    <row r="69" x14ac:dyDescent="0.35"/>
    <row r="70" x14ac:dyDescent="0.35"/>
  </sheetData>
  <conditionalFormatting sqref="G52">
    <cfRule type="expression" dxfId="4" priority="14">
      <formula>$K$10="[Please select]"</formula>
    </cfRule>
  </conditionalFormatting>
  <conditionalFormatting sqref="G52">
    <cfRule type="expression" dxfId="3" priority="13">
      <formula>$E$22="[Please select]"</formula>
    </cfRule>
  </conditionalFormatting>
  <conditionalFormatting sqref="G52">
    <cfRule type="expression" dxfId="2" priority="12">
      <formula>$E$20="[Please select]"</formula>
    </cfRule>
  </conditionalFormatting>
  <conditionalFormatting sqref="G52">
    <cfRule type="expression" dxfId="1" priority="11">
      <formula>$E$18="[Please select]"</formula>
    </cfRule>
  </conditionalFormatting>
  <conditionalFormatting sqref="G52">
    <cfRule type="expression" dxfId="0" priority="15">
      <formula>$E$24="[Please select]"</formula>
    </cfRule>
  </conditionalFormatting>
  <dataValidations count="2">
    <dataValidation type="list" allowBlank="1" showInputMessage="1" showErrorMessage="1" sqref="F54" xr:uid="{9B453854-3FEB-47FE-9066-7188B9F22BD1}">
      <formula1>"Yes,No"</formula1>
    </dataValidation>
    <dataValidation type="whole" operator="greaterThanOrEqual" allowBlank="1" showErrorMessage="1" error="Must have 1 or more floors." sqref="F56" xr:uid="{36D0403F-CD56-4C9F-AC5E-BF66AFE037D5}">
      <formula1>1</formula1>
    </dataValidation>
  </dataValidations>
  <hyperlinks>
    <hyperlink ref="D13" r:id="rId1" xr:uid="{8020A2B2-15A1-4E24-9E97-54989815DBF1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7" orientation="portrait" r:id="rId2"/>
  <ignoredErrors>
    <ignoredError sqref="F31 F35:F36 F39 F40:F4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8" r:id="rId5" name="Drop Down 12">
              <controlPr locked="0" defaultSize="0" autoLine="0" autoPict="0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5</xdr:col>
                    <xdr:colOff>2057400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58" r:id="rId6" name="Drop Down 562">
              <controlPr locked="0" defaultSize="0" autoLine="0" autoPict="0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5</xdr:col>
                    <xdr:colOff>2057400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20" r:id="rId7" name="Drop Down 1096">
              <controlPr locked="0" defaultSize="0" autoLine="0" autoPict="0">
                <anchor moveWithCells="1">
                  <from>
                    <xdr:col>5</xdr:col>
                    <xdr:colOff>25400</xdr:colOff>
                    <xdr:row>29</xdr:row>
                    <xdr:rowOff>152400</xdr:rowOff>
                  </from>
                  <to>
                    <xdr:col>5</xdr:col>
                    <xdr:colOff>2082800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DBD7CB-CECC-45D3-89CF-EED4CBE4DC4B}">
          <x14:formula1>
            <xm:f>Lists!$T$13:$T$18</xm:f>
          </x14:formula1>
          <xm:sqref>F52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ddedde0-e4bd-4a6f-a6fe-49b3746e8190">
      <Terms xmlns="http://schemas.microsoft.com/office/infopath/2007/PartnerControls"/>
    </lcf76f155ced4ddcb4097134ff3c332f>
    <TaxCatchAll xmlns="5e204035-4650-464b-9f2e-31eda631e7dc" xsi:nil="true"/>
    <Date xmlns="4ddedde0-e4bd-4a6f-a6fe-49b3746e819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94165F50FDED4D881F5EC55161C318" ma:contentTypeVersion="16" ma:contentTypeDescription="Create a new document." ma:contentTypeScope="" ma:versionID="7fd0377bbda3fd97e54fa281293c4ecd">
  <xsd:schema xmlns:xsd="http://www.w3.org/2001/XMLSchema" xmlns:xs="http://www.w3.org/2001/XMLSchema" xmlns:p="http://schemas.microsoft.com/office/2006/metadata/properties" xmlns:ns2="4ddedde0-e4bd-4a6f-a6fe-49b3746e8190" xmlns:ns3="5e204035-4650-464b-9f2e-31eda631e7dc" targetNamespace="http://schemas.microsoft.com/office/2006/metadata/properties" ma:root="true" ma:fieldsID="942121f2bd8c4284470b005254386bbf" ns2:_="" ns3:_="">
    <xsd:import namespace="4ddedde0-e4bd-4a6f-a6fe-49b3746e8190"/>
    <xsd:import namespace="5e204035-4650-464b-9f2e-31eda631e7dc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Da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dedde0-e4bd-4a6f-a6fe-49b3746e8190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6f7c56d9-6620-4fa7-a0d4-89fbcd64e5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description="" ma:indexed="true" ma:internalName="MediaServiceLocation" ma:readOnly="true">
      <xsd:simpleType>
        <xsd:restriction base="dms:Text"/>
      </xsd:simpleType>
    </xsd:element>
    <xsd:element name="Date" ma:index="19" nillable="true" ma:displayName="Date" ma:format="DateOnly" ma:internalName="Date">
      <xsd:simpleType>
        <xsd:restriction base="dms:DateTime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204035-4650-464b-9f2e-31eda631e7dc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7e4e22b-fee9-4d7c-b226-a3a955f6909c}" ma:internalName="TaxCatchAll" ma:showField="CatchAllData" ma:web="5e204035-4650-464b-9f2e-31eda631e7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3F0B59-6F45-4A40-B00A-FD7B29CDE460}">
  <ds:schemaRefs>
    <ds:schemaRef ds:uri="http://purl.org/dc/terms/"/>
    <ds:schemaRef ds:uri="http://purl.org/dc/elements/1.1/"/>
    <ds:schemaRef ds:uri="http://schemas.microsoft.com/office/infopath/2007/PartnerControls"/>
    <ds:schemaRef ds:uri="4ddedde0-e4bd-4a6f-a6fe-49b3746e8190"/>
    <ds:schemaRef ds:uri="http://www.w3.org/XML/1998/namespace"/>
    <ds:schemaRef ds:uri="5e204035-4650-464b-9f2e-31eda631e7dc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C6AA1EE-D051-4634-8F45-D932236A6E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8B70C8-9119-4888-B49A-457BA90DA8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dedde0-e4bd-4a6f-a6fe-49b3746e8190"/>
    <ds:schemaRef ds:uri="5e204035-4650-464b-9f2e-31eda631e7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9a363db-73e0-417f-b499-9d17f67459c2}" enabled="1" method="Standard" siteId="{049e3382-8cdc-477b-9317-951b0468966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Lists</vt:lpstr>
      <vt:lpstr>Sales Team Input Sheet</vt:lpstr>
      <vt:lpstr>'Sales Team Input Sheet'!Print_Area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Andrew Cohen</dc:creator>
  <cp:keywords/>
  <dc:description/>
  <cp:lastModifiedBy>Mariah Krawchuk</cp:lastModifiedBy>
  <cp:revision/>
  <dcterms:created xsi:type="dcterms:W3CDTF">2018-05-17T10:51:29Z</dcterms:created>
  <dcterms:modified xsi:type="dcterms:W3CDTF">2025-10-30T13:24:22Z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0x010100DE94165F50FDED4D881F5EC55161C318</vt:lpwstr>
  </property>
  <property fmtid="{D5CDD505-2E9C-101B-9397-08002B2CF9AE}" pid="5" name="AuthorIds_UIVersion_2560">
    <vt:lpwstr>16</vt:lpwstr>
  </property>
  <property fmtid="{D5CDD505-2E9C-101B-9397-08002B2CF9AE}" pid="6" name="MediaServiceImageTags">
    <vt:lpwstr/>
  </property>
</Properties>
</file>